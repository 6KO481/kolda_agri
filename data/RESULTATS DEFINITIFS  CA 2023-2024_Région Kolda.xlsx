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C\Desktop\DRDR PV\Production Vegetale de la Region de kolda\"/>
    </mc:Choice>
  </mc:AlternateContent>
  <bookViews>
    <workbookView xWindow="0" yWindow="0" windowWidth="23040" windowHeight="10335"/>
  </bookViews>
  <sheets>
    <sheet name="Kolda" sheetId="5" r:id="rId1"/>
    <sheet name="CULTURES INDUSTRIELLES" sheetId="17" r:id="rId2"/>
    <sheet name="CEREALES" sheetId="18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Q12" i="5" l="1"/>
  <c r="Q11" i="5"/>
  <c r="R12" i="5"/>
  <c r="G29" i="5"/>
  <c r="E29" i="5"/>
  <c r="F29" i="5" l="1"/>
  <c r="Q29" i="5" l="1"/>
  <c r="Q33" i="5" s="1"/>
  <c r="B14" i="5" l="1"/>
  <c r="Q10" i="5" l="1"/>
  <c r="Q9" i="5"/>
  <c r="H14" i="5"/>
  <c r="Q14" i="5" l="1"/>
  <c r="R11" i="5" l="1"/>
  <c r="R10" i="5"/>
  <c r="D14" i="5"/>
  <c r="J14" i="5"/>
  <c r="R9" i="5"/>
  <c r="R14" i="5" l="1"/>
  <c r="K14" i="5" l="1"/>
  <c r="M14" i="5"/>
  <c r="N29" i="5" l="1"/>
  <c r="S29" i="5"/>
  <c r="K29" i="5"/>
  <c r="J29" i="5"/>
  <c r="H29" i="5"/>
  <c r="B29" i="5"/>
  <c r="D29" i="5"/>
  <c r="P29" i="5"/>
  <c r="M29" i="5"/>
  <c r="N14" i="5"/>
  <c r="E14" i="5"/>
  <c r="P14" i="5"/>
  <c r="G14" i="5"/>
  <c r="B18" i="5" l="1"/>
  <c r="E18" i="5"/>
  <c r="N18" i="5"/>
  <c r="H18" i="5"/>
  <c r="B33" i="5"/>
  <c r="K18" i="5"/>
  <c r="S33" i="5"/>
  <c r="J33" i="5"/>
  <c r="N33" i="5"/>
  <c r="K33" i="5"/>
  <c r="H33" i="5"/>
  <c r="L14" i="5"/>
  <c r="Q18" i="5"/>
  <c r="J18" i="5"/>
  <c r="I14" i="5"/>
  <c r="P33" i="5"/>
  <c r="O29" i="5"/>
  <c r="D33" i="5"/>
  <c r="C29" i="5"/>
  <c r="C14" i="5"/>
  <c r="D18" i="5"/>
  <c r="O14" i="5"/>
  <c r="P18" i="5"/>
  <c r="G18" i="5"/>
  <c r="F14" i="5"/>
  <c r="M33" i="5"/>
  <c r="L29" i="5"/>
  <c r="R18" i="5"/>
  <c r="M18" i="5"/>
  <c r="R29" i="5"/>
  <c r="I29" i="5"/>
  <c r="F18" i="5" l="1"/>
  <c r="C18" i="5"/>
  <c r="C33" i="5"/>
  <c r="L18" i="5"/>
  <c r="O18" i="5"/>
  <c r="I18" i="5"/>
  <c r="L33" i="5"/>
  <c r="I33" i="5"/>
  <c r="R33" i="5"/>
  <c r="O33" i="5"/>
</calcChain>
</file>

<file path=xl/sharedStrings.xml><?xml version="1.0" encoding="utf-8"?>
<sst xmlns="http://schemas.openxmlformats.org/spreadsheetml/2006/main" count="240" uniqueCount="64">
  <si>
    <t xml:space="preserve"> </t>
  </si>
  <si>
    <t>SORGHO</t>
  </si>
  <si>
    <t>MAIS</t>
  </si>
  <si>
    <t>FONIO</t>
  </si>
  <si>
    <t>TOTAL CEREALES</t>
  </si>
  <si>
    <t>SUP</t>
  </si>
  <si>
    <t>RDT</t>
  </si>
  <si>
    <t>PROD</t>
  </si>
  <si>
    <t>(Ha)</t>
  </si>
  <si>
    <t>(Kg/Ha)</t>
  </si>
  <si>
    <t>(T)</t>
  </si>
  <si>
    <t>DIOURBEL</t>
  </si>
  <si>
    <t>FATICK</t>
  </si>
  <si>
    <t>KAOLACK</t>
  </si>
  <si>
    <t>KOLDA</t>
  </si>
  <si>
    <t>LOUGA</t>
  </si>
  <si>
    <t>SAINT-LOUIS</t>
  </si>
  <si>
    <t>MATAM</t>
  </si>
  <si>
    <t>KEDOUGOU</t>
  </si>
  <si>
    <t>Source : DAPSA</t>
  </si>
  <si>
    <t>ECART(1)&amp;(2) en%</t>
  </si>
  <si>
    <t>REGION  (1)</t>
  </si>
  <si>
    <t>LOCALITES</t>
  </si>
  <si>
    <t>NIEBE</t>
  </si>
  <si>
    <t>SESAME</t>
  </si>
  <si>
    <t>MANIOC</t>
  </si>
  <si>
    <t>COTON</t>
  </si>
  <si>
    <t xml:space="preserve"> REGION (1)</t>
  </si>
  <si>
    <t xml:space="preserve">  TOTAL CEREALES</t>
  </si>
  <si>
    <t>RIZ</t>
  </si>
  <si>
    <t xml:space="preserve">MIL </t>
  </si>
  <si>
    <t>PASTEQUE</t>
  </si>
  <si>
    <t>REGION DE KOLDA</t>
  </si>
  <si>
    <t>MEDINA YORO FOULA</t>
  </si>
  <si>
    <t xml:space="preserve">  ARACHIDE HUILERIE</t>
  </si>
  <si>
    <t xml:space="preserve"> KOLDA</t>
  </si>
  <si>
    <t>VELINGARA</t>
  </si>
  <si>
    <t>KAFFRINE</t>
  </si>
  <si>
    <t>MIL</t>
  </si>
  <si>
    <t>THIES</t>
  </si>
  <si>
    <t xml:space="preserve">COTON </t>
  </si>
  <si>
    <t xml:space="preserve">        PASTEQUE</t>
  </si>
  <si>
    <t xml:space="preserve">SESAME </t>
  </si>
  <si>
    <t>REGIONS</t>
  </si>
  <si>
    <t>DAKAR</t>
  </si>
  <si>
    <t xml:space="preserve">KOLDA </t>
  </si>
  <si>
    <t>TAMBACOUNDA</t>
  </si>
  <si>
    <t xml:space="preserve">ZIGUINCHOR </t>
  </si>
  <si>
    <t>SEDHIOU</t>
  </si>
  <si>
    <t>ECART(1)&amp;(2) EN %</t>
  </si>
  <si>
    <t>ECART(1)&amp;(3) EN %</t>
  </si>
  <si>
    <t>SOURCE : SENEGAL, DAPSA/MAER</t>
  </si>
  <si>
    <t xml:space="preserve">RIZ </t>
  </si>
  <si>
    <t>MOYENNE 5 DERNIERES ANNEES (3)</t>
  </si>
  <si>
    <t xml:space="preserve">VELINGARA </t>
  </si>
  <si>
    <t xml:space="preserve">                                               RECAPITULATIF DES CULTURES INDUSTRIELLES ET AUTRES CULTURES</t>
  </si>
  <si>
    <t xml:space="preserve">                                                           RECAPITULATIF DES CULTURES CEREALIERES</t>
  </si>
  <si>
    <t>KOLDA AMENAGE</t>
  </si>
  <si>
    <t>RESULTATS 2022/2023 (2)</t>
  </si>
  <si>
    <t>RESULTATS DEFINITIFS DE LA CAMPAGNE AGRICOLE 2023/2024</t>
  </si>
  <si>
    <t>RESULTATS DEFINITIFS 2022-2023 (2)</t>
  </si>
  <si>
    <t>RESULTATS DEFINITIFS 2023-2024 (1)</t>
  </si>
  <si>
    <t xml:space="preserve">                         RESULTATS DEFINITIFS DE LA CAMPAGNE AGRICOLE 2023/2024</t>
  </si>
  <si>
    <t xml:space="preserve">       RESULTATS DEFINITIFS DE LA CAMPAGNE AGRICOLE 2023/2024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</si>
</sst>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3" formatCode="_-* #,##0.00\ _€_-;\-* #,##0.00\ _€_-;_-* &quot;-&quot;??\ _€_-;_-@_-"/>
    <numFmt numFmtId="164" formatCode="0_)"/>
    <numFmt numFmtId="165" formatCode="_-* #,##0\ _€_-;\-* #,##0\ _€_-;_-* &quot;-&quot;??\ _€_-;_-@_-"/>
    <numFmt numFmtId="166" formatCode="#,##0_ ;\-#,##0\ "/>
    <numFmt numFmtId="167" formatCode="_-* #,##0.00\ _F_-;\-* #,##0.00\ _F_-;_-* &quot;-&quot;??\ _F_-;_-@_-"/>
    <numFmt numFmtId="168" formatCode="#,##0_);\(#,##0\)"/>
  </numFmts>
  <fonts count="35" x14ac:knownFonts="1">
    <font>
      <sz val="11"/>
      <color theme="1"/>
      <name val="Calibri"/>
      <family val="2"/>
      <scheme val="minor"/>
    </font>
    <font>
      <b/>
      <sz val="12"/>
      <color indexed="8"/>
      <name val="Times New Roman"/>
      <family val="1"/>
    </font>
    <font>
      <b/>
      <sz val="12"/>
      <name val="Times New Roman"/>
      <family val="1"/>
    </font>
    <font>
      <b/>
      <sz val="14"/>
      <name val="Times New Roman"/>
      <family val="1"/>
    </font>
    <font>
      <sz val="10"/>
      <name val="Arial"/>
      <family val="2"/>
    </font>
    <font>
      <sz val="10"/>
      <name val="Times New Roman"/>
      <family val="1"/>
    </font>
    <font>
      <b/>
      <sz val="14"/>
      <color indexed="8"/>
      <name val="Times New Roman"/>
      <family val="1"/>
    </font>
    <font>
      <b/>
      <sz val="12"/>
      <name val="Courier"/>
      <family val="3"/>
    </font>
    <font>
      <b/>
      <sz val="16"/>
      <name val="Times New Roman"/>
      <family val="1"/>
    </font>
    <font>
      <b/>
      <sz val="18"/>
      <color indexed="8"/>
      <name val="Times New Roman"/>
      <family val="1"/>
    </font>
    <font>
      <b/>
      <sz val="20"/>
      <name val="Times New Roman"/>
      <family val="1"/>
    </font>
    <font>
      <b/>
      <sz val="20"/>
      <color indexed="8"/>
      <name val="Times New Roman"/>
      <family val="1"/>
    </font>
    <font>
      <b/>
      <sz val="16"/>
      <color indexed="8"/>
      <name val="Times New Roman"/>
      <family val="1"/>
    </font>
    <font>
      <sz val="20"/>
      <name val="Times New Roman"/>
      <family val="1"/>
    </font>
    <font>
      <b/>
      <sz val="18"/>
      <name val="Times New Roman"/>
      <family val="1"/>
    </font>
    <font>
      <b/>
      <sz val="18"/>
      <color indexed="8"/>
      <name val="Arial"/>
      <family val="2"/>
    </font>
    <font>
      <b/>
      <sz val="18"/>
      <name val="Arial"/>
      <family val="2"/>
    </font>
    <font>
      <sz val="18"/>
      <name val="Times New Roman"/>
      <family val="1"/>
    </font>
    <font>
      <b/>
      <sz val="20"/>
      <color rgb="FFFF0000"/>
      <name val="Times New Roman"/>
      <family val="1"/>
    </font>
    <font>
      <b/>
      <sz val="16"/>
      <color rgb="FFFF0000"/>
      <name val="Times New Roman"/>
      <family val="1"/>
    </font>
    <font>
      <b/>
      <sz val="12"/>
      <color rgb="FFFF0000"/>
      <name val="Times New Roman"/>
      <family val="1"/>
    </font>
    <font>
      <b/>
      <sz val="14"/>
      <color rgb="FFFF0000"/>
      <name val="Times New Roman"/>
      <family val="1"/>
    </font>
    <font>
      <b/>
      <sz val="18"/>
      <color rgb="FFFF0000"/>
      <name val="Times New Roman"/>
      <family val="1"/>
    </font>
    <font>
      <b/>
      <sz val="18"/>
      <color rgb="FFFF0000"/>
      <name val="Arial"/>
      <family val="2"/>
    </font>
    <font>
      <b/>
      <sz val="10"/>
      <color rgb="FF000000"/>
      <name val="Arial Narrow"/>
      <family val="2"/>
    </font>
    <font>
      <sz val="10"/>
      <color rgb="FFFF0000"/>
      <name val="Times New Roman"/>
      <family val="1"/>
    </font>
    <font>
      <sz val="14"/>
      <name val="Times New Roman"/>
      <family val="1"/>
    </font>
    <font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 tint="0.34998626667073579"/>
      <name val="Arial"/>
      <family val="2"/>
    </font>
    <font>
      <sz val="18"/>
      <color theme="1" tint="0.34998626667073579"/>
      <name val="Arial"/>
      <family val="2"/>
    </font>
    <font>
      <sz val="11"/>
      <name val="Calibri"/>
      <family val="2"/>
      <scheme val="minor"/>
    </font>
    <font>
      <sz val="18"/>
      <color theme="1"/>
      <name val="Calibri"/>
      <family val="2"/>
      <scheme val="minor"/>
    </font>
    <font>
      <sz val="16"/>
      <color rgb="FFFF0000"/>
      <name val="Times New Roman"/>
      <family val="1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gray125">
        <bgColor theme="0"/>
      </patternFill>
    </fill>
  </fills>
  <borders count="24">
    <border>
      <left/>
      <right/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double">
        <color indexed="64"/>
      </right>
      <top/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dashed">
        <color indexed="64"/>
      </top>
      <bottom/>
      <diagonal/>
    </border>
  </borders>
  <cellStyleXfs count="12">
    <xf numFmtId="0" fontId="0" fillId="0" borderId="0"/>
    <xf numFmtId="0" fontId="5" fillId="0" borderId="0"/>
    <xf numFmtId="167" fontId="5" fillId="0" borderId="0" applyFont="0" applyFill="0" applyBorder="0" applyAlignment="0" applyProtection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43" fontId="34" fillId="0" borderId="0" applyFont="0" applyFill="0" applyBorder="0" applyAlignment="0" applyProtection="0"/>
  </cellStyleXfs>
  <cellXfs count="215">
    <xf numFmtId="0" fontId="0" fillId="0" borderId="0" xfId="0"/>
    <xf numFmtId="0" fontId="2" fillId="0" borderId="0" xfId="1" applyFont="1"/>
    <xf numFmtId="0" fontId="7" fillId="0" borderId="0" xfId="1" applyFont="1"/>
    <xf numFmtId="0" fontId="1" fillId="0" borderId="3" xfId="1" applyFont="1" applyFill="1" applyBorder="1" applyAlignment="1" applyProtection="1"/>
    <xf numFmtId="0" fontId="2" fillId="0" borderId="0" xfId="1" applyFont="1" applyBorder="1" applyAlignment="1" applyProtection="1">
      <alignment horizontal="center"/>
    </xf>
    <xf numFmtId="0" fontId="7" fillId="0" borderId="2" xfId="1" applyFont="1" applyBorder="1"/>
    <xf numFmtId="0" fontId="2" fillId="0" borderId="0" xfId="1" applyFont="1" applyAlignment="1">
      <alignment horizontal="left"/>
    </xf>
    <xf numFmtId="0" fontId="8" fillId="0" borderId="0" xfId="1" applyFont="1"/>
    <xf numFmtId="0" fontId="3" fillId="0" borderId="0" xfId="1" applyFont="1"/>
    <xf numFmtId="166" fontId="6" fillId="0" borderId="3" xfId="1" applyNumberFormat="1" applyFont="1" applyFill="1" applyBorder="1" applyProtection="1"/>
    <xf numFmtId="0" fontId="2" fillId="2" borderId="0" xfId="1" applyFont="1" applyFill="1"/>
    <xf numFmtId="0" fontId="3" fillId="2" borderId="0" xfId="1" applyFont="1" applyFill="1"/>
    <xf numFmtId="0" fontId="5" fillId="0" borderId="0" xfId="1" applyFont="1"/>
    <xf numFmtId="0" fontId="7" fillId="2" borderId="2" xfId="1" applyFont="1" applyFill="1" applyBorder="1"/>
    <xf numFmtId="1" fontId="3" fillId="0" borderId="6" xfId="1" applyNumberFormat="1" applyFont="1" applyFill="1" applyBorder="1" applyAlignment="1" applyProtection="1">
      <alignment vertical="center"/>
    </xf>
    <xf numFmtId="166" fontId="6" fillId="0" borderId="5" xfId="1" applyNumberFormat="1" applyFont="1" applyFill="1" applyBorder="1" applyProtection="1"/>
    <xf numFmtId="1" fontId="3" fillId="0" borderId="0" xfId="1" applyNumberFormat="1" applyFont="1" applyFill="1" applyAlignment="1" applyProtection="1">
      <alignment vertical="center"/>
    </xf>
    <xf numFmtId="37" fontId="3" fillId="0" borderId="4" xfId="1" applyNumberFormat="1" applyFont="1" applyFill="1" applyBorder="1" applyProtection="1"/>
    <xf numFmtId="168" fontId="3" fillId="0" borderId="10" xfId="1" applyNumberFormat="1" applyFont="1" applyBorder="1" applyProtection="1"/>
    <xf numFmtId="168" fontId="3" fillId="0" borderId="4" xfId="1" applyNumberFormat="1" applyFont="1" applyBorder="1" applyProtection="1"/>
    <xf numFmtId="165" fontId="6" fillId="0" borderId="17" xfId="1" applyNumberFormat="1" applyFont="1" applyFill="1" applyBorder="1" applyAlignment="1" applyProtection="1">
      <alignment vertical="center"/>
    </xf>
    <xf numFmtId="168" fontId="3" fillId="0" borderId="19" xfId="1" applyNumberFormat="1" applyFont="1" applyBorder="1" applyProtection="1"/>
    <xf numFmtId="1" fontId="3" fillId="0" borderId="18" xfId="1" applyNumberFormat="1" applyFont="1" applyBorder="1" applyAlignment="1" applyProtection="1">
      <alignment vertical="center"/>
    </xf>
    <xf numFmtId="0" fontId="2" fillId="0" borderId="0" xfId="1" applyFont="1" applyAlignment="1" applyProtection="1">
      <alignment horizontal="center"/>
    </xf>
    <xf numFmtId="0" fontId="2" fillId="0" borderId="4" xfId="1" applyFont="1" applyBorder="1" applyAlignment="1" applyProtection="1">
      <alignment horizontal="center"/>
    </xf>
    <xf numFmtId="1" fontId="3" fillId="0" borderId="0" xfId="1" applyNumberFormat="1" applyFont="1" applyFill="1" applyBorder="1" applyProtection="1"/>
    <xf numFmtId="0" fontId="2" fillId="0" borderId="0" xfId="0" applyFont="1"/>
    <xf numFmtId="0" fontId="10" fillId="0" borderId="0" xfId="0" applyFont="1"/>
    <xf numFmtId="168" fontId="11" fillId="0" borderId="0" xfId="0" applyNumberFormat="1" applyFont="1" applyFill="1" applyProtection="1"/>
    <xf numFmtId="168" fontId="12" fillId="0" borderId="0" xfId="0" applyNumberFormat="1" applyFont="1" applyFill="1" applyProtection="1"/>
    <xf numFmtId="168" fontId="8" fillId="0" borderId="0" xfId="0" applyNumberFormat="1" applyFont="1" applyProtection="1"/>
    <xf numFmtId="168" fontId="10" fillId="0" borderId="0" xfId="0" applyNumberFormat="1" applyFont="1" applyProtection="1"/>
    <xf numFmtId="0" fontId="13" fillId="0" borderId="0" xfId="0" applyFont="1"/>
    <xf numFmtId="168" fontId="2" fillId="0" borderId="0" xfId="0" applyNumberFormat="1" applyFont="1" applyProtection="1"/>
    <xf numFmtId="168" fontId="14" fillId="0" borderId="0" xfId="0" applyNumberFormat="1" applyFont="1" applyProtection="1"/>
    <xf numFmtId="168" fontId="15" fillId="0" borderId="1" xfId="0" applyNumberFormat="1" applyFont="1" applyFill="1" applyBorder="1" applyProtection="1"/>
    <xf numFmtId="168" fontId="15" fillId="0" borderId="2" xfId="0" applyNumberFormat="1" applyFont="1" applyFill="1" applyBorder="1" applyProtection="1"/>
    <xf numFmtId="168" fontId="9" fillId="0" borderId="3" xfId="0" applyNumberFormat="1" applyFont="1" applyFill="1" applyBorder="1" applyProtection="1"/>
    <xf numFmtId="168" fontId="15" fillId="0" borderId="3" xfId="0" applyNumberFormat="1" applyFont="1" applyFill="1" applyBorder="1" applyProtection="1"/>
    <xf numFmtId="168" fontId="15" fillId="0" borderId="3" xfId="0" applyNumberFormat="1" applyFont="1" applyFill="1" applyBorder="1" applyAlignment="1" applyProtection="1"/>
    <xf numFmtId="0" fontId="15" fillId="0" borderId="3" xfId="0" applyFont="1" applyFill="1" applyBorder="1"/>
    <xf numFmtId="0" fontId="16" fillId="0" borderId="0" xfId="0" applyFont="1"/>
    <xf numFmtId="0" fontId="9" fillId="0" borderId="3" xfId="0" applyFont="1" applyFill="1" applyBorder="1"/>
    <xf numFmtId="168" fontId="15" fillId="0" borderId="5" xfId="0" applyNumberFormat="1" applyFont="1" applyFill="1" applyBorder="1" applyAlignment="1" applyProtection="1"/>
    <xf numFmtId="168" fontId="15" fillId="0" borderId="6" xfId="0" applyNumberFormat="1" applyFont="1" applyFill="1" applyBorder="1" applyAlignment="1" applyProtection="1">
      <alignment horizontal="center"/>
    </xf>
    <xf numFmtId="168" fontId="15" fillId="0" borderId="5" xfId="0" applyNumberFormat="1" applyFont="1" applyFill="1" applyBorder="1" applyProtection="1"/>
    <xf numFmtId="3" fontId="15" fillId="0" borderId="5" xfId="0" applyNumberFormat="1" applyFont="1" applyFill="1" applyBorder="1" applyProtection="1"/>
    <xf numFmtId="3" fontId="15" fillId="0" borderId="6" xfId="0" applyNumberFormat="1" applyFont="1" applyFill="1" applyBorder="1" applyProtection="1"/>
    <xf numFmtId="3" fontId="15" fillId="0" borderId="3" xfId="0" applyNumberFormat="1" applyFont="1" applyFill="1" applyBorder="1" applyProtection="1"/>
    <xf numFmtId="3" fontId="15" fillId="0" borderId="0" xfId="0" applyNumberFormat="1" applyFont="1" applyFill="1" applyBorder="1" applyProtection="1"/>
    <xf numFmtId="3" fontId="16" fillId="0" borderId="0" xfId="0" applyNumberFormat="1" applyFont="1" applyProtection="1"/>
    <xf numFmtId="168" fontId="15" fillId="0" borderId="0" xfId="0" applyNumberFormat="1" applyFont="1" applyFill="1" applyBorder="1" applyProtection="1"/>
    <xf numFmtId="3" fontId="16" fillId="0" borderId="3" xfId="0" applyNumberFormat="1" applyFont="1" applyBorder="1"/>
    <xf numFmtId="3" fontId="16" fillId="0" borderId="0" xfId="0" applyNumberFormat="1" applyFont="1" applyBorder="1"/>
    <xf numFmtId="3" fontId="16" fillId="0" borderId="0" xfId="0" applyNumberFormat="1" applyFont="1" applyBorder="1" applyProtection="1"/>
    <xf numFmtId="3" fontId="15" fillId="0" borderId="7" xfId="0" applyNumberFormat="1" applyFont="1" applyFill="1" applyBorder="1" applyProtection="1"/>
    <xf numFmtId="168" fontId="15" fillId="1" borderId="5" xfId="0" applyNumberFormat="1" applyFont="1" applyFill="1" applyBorder="1" applyProtection="1"/>
    <xf numFmtId="168" fontId="15" fillId="1" borderId="6" xfId="0" applyNumberFormat="1" applyFont="1" applyFill="1" applyBorder="1" applyProtection="1"/>
    <xf numFmtId="168" fontId="15" fillId="1" borderId="8" xfId="0" applyNumberFormat="1" applyFont="1" applyFill="1" applyBorder="1" applyProtection="1"/>
    <xf numFmtId="168" fontId="15" fillId="1" borderId="7" xfId="0" applyNumberFormat="1" applyFont="1" applyFill="1" applyBorder="1" applyProtection="1"/>
    <xf numFmtId="168" fontId="15" fillId="1" borderId="9" xfId="0" applyNumberFormat="1" applyFont="1" applyFill="1" applyBorder="1" applyProtection="1"/>
    <xf numFmtId="0" fontId="15" fillId="1" borderId="5" xfId="0" applyFont="1" applyFill="1" applyBorder="1"/>
    <xf numFmtId="164" fontId="15" fillId="0" borderId="3" xfId="0" applyNumberFormat="1" applyFont="1" applyFill="1" applyBorder="1" applyProtection="1"/>
    <xf numFmtId="164" fontId="15" fillId="0" borderId="0" xfId="0" applyNumberFormat="1" applyFont="1" applyFill="1" applyBorder="1" applyProtection="1"/>
    <xf numFmtId="168" fontId="15" fillId="1" borderId="3" xfId="0" applyNumberFormat="1" applyFont="1" applyFill="1" applyBorder="1" applyAlignment="1" applyProtection="1"/>
    <xf numFmtId="168" fontId="15" fillId="1" borderId="0" xfId="0" applyNumberFormat="1" applyFont="1" applyFill="1" applyProtection="1"/>
    <xf numFmtId="168" fontId="15" fillId="1" borderId="10" xfId="0" applyNumberFormat="1" applyFont="1" applyFill="1" applyBorder="1" applyProtection="1"/>
    <xf numFmtId="168" fontId="15" fillId="1" borderId="3" xfId="0" applyNumberFormat="1" applyFont="1" applyFill="1" applyBorder="1" applyProtection="1"/>
    <xf numFmtId="3" fontId="0" fillId="0" borderId="0" xfId="0" applyNumberFormat="1"/>
    <xf numFmtId="168" fontId="16" fillId="0" borderId="0" xfId="0" applyNumberFormat="1" applyFont="1" applyProtection="1"/>
    <xf numFmtId="0" fontId="17" fillId="0" borderId="0" xfId="0" applyFont="1"/>
    <xf numFmtId="164" fontId="15" fillId="0" borderId="4" xfId="0" applyNumberFormat="1" applyFont="1" applyFill="1" applyBorder="1" applyProtection="1"/>
    <xf numFmtId="168" fontId="15" fillId="1" borderId="11" xfId="0" applyNumberFormat="1" applyFont="1" applyFill="1" applyBorder="1" applyAlignment="1" applyProtection="1"/>
    <xf numFmtId="168" fontId="15" fillId="1" borderId="12" xfId="0" applyNumberFormat="1" applyFont="1" applyFill="1" applyBorder="1" applyProtection="1"/>
    <xf numFmtId="168" fontId="15" fillId="1" borderId="13" xfId="0" applyNumberFormat="1" applyFont="1" applyFill="1" applyBorder="1" applyProtection="1"/>
    <xf numFmtId="168" fontId="9" fillId="0" borderId="2" xfId="0" applyNumberFormat="1" applyFont="1" applyFill="1" applyBorder="1" applyAlignment="1" applyProtection="1"/>
    <xf numFmtId="0" fontId="14" fillId="0" borderId="0" xfId="0" applyFont="1"/>
    <xf numFmtId="14" fontId="14" fillId="0" borderId="2" xfId="0" applyNumberFormat="1" applyFont="1" applyBorder="1" applyAlignment="1"/>
    <xf numFmtId="168" fontId="1" fillId="0" borderId="0" xfId="0" applyNumberFormat="1" applyFont="1" applyFill="1" applyAlignment="1" applyProtection="1"/>
    <xf numFmtId="168" fontId="1" fillId="0" borderId="0" xfId="0" applyNumberFormat="1" applyFont="1" applyFill="1" applyProtection="1"/>
    <xf numFmtId="168" fontId="18" fillId="0" borderId="0" xfId="0" applyNumberFormat="1" applyFont="1" applyFill="1" applyProtection="1"/>
    <xf numFmtId="168" fontId="19" fillId="0" borderId="0" xfId="0" applyNumberFormat="1" applyFont="1" applyFill="1" applyProtection="1"/>
    <xf numFmtId="168" fontId="2" fillId="0" borderId="0" xfId="0" applyNumberFormat="1" applyFont="1" applyAlignment="1" applyProtection="1">
      <alignment horizontal="left"/>
    </xf>
    <xf numFmtId="168" fontId="20" fillId="0" borderId="0" xfId="0" applyNumberFormat="1" applyFont="1" applyProtection="1"/>
    <xf numFmtId="168" fontId="10" fillId="0" borderId="0" xfId="0" applyNumberFormat="1" applyFont="1" applyAlignment="1" applyProtection="1">
      <alignment horizontal="left"/>
    </xf>
    <xf numFmtId="168" fontId="3" fillId="0" borderId="0" xfId="0" applyNumberFormat="1" applyFont="1" applyProtection="1"/>
    <xf numFmtId="168" fontId="21" fillId="0" borderId="0" xfId="0" applyNumberFormat="1" applyFont="1" applyProtection="1"/>
    <xf numFmtId="168" fontId="22" fillId="0" borderId="0" xfId="0" applyNumberFormat="1" applyFont="1" applyProtection="1"/>
    <xf numFmtId="168" fontId="15" fillId="0" borderId="1" xfId="0" applyNumberFormat="1" applyFont="1" applyFill="1" applyBorder="1" applyAlignment="1" applyProtection="1"/>
    <xf numFmtId="168" fontId="23" fillId="0" borderId="1" xfId="0" applyNumberFormat="1" applyFont="1" applyFill="1" applyBorder="1" applyProtection="1"/>
    <xf numFmtId="168" fontId="23" fillId="0" borderId="2" xfId="0" applyNumberFormat="1" applyFont="1" applyFill="1" applyBorder="1" applyProtection="1"/>
    <xf numFmtId="168" fontId="16" fillId="0" borderId="3" xfId="0" applyNumberFormat="1" applyFont="1" applyBorder="1" applyProtection="1"/>
    <xf numFmtId="0" fontId="4" fillId="0" borderId="0" xfId="0" applyFont="1"/>
    <xf numFmtId="168" fontId="16" fillId="0" borderId="3" xfId="0" applyNumberFormat="1" applyFont="1" applyFill="1" applyBorder="1" applyAlignment="1" applyProtection="1"/>
    <xf numFmtId="168" fontId="15" fillId="0" borderId="3" xfId="0" applyNumberFormat="1" applyFont="1" applyFill="1" applyBorder="1" applyAlignment="1" applyProtection="1">
      <alignment horizontal="left"/>
    </xf>
    <xf numFmtId="0" fontId="16" fillId="0" borderId="3" xfId="0" applyFont="1" applyFill="1" applyBorder="1"/>
    <xf numFmtId="0" fontId="16" fillId="0" borderId="0" xfId="0" applyFont="1" applyFill="1"/>
    <xf numFmtId="0" fontId="16" fillId="0" borderId="3" xfId="0" applyFont="1" applyBorder="1"/>
    <xf numFmtId="168" fontId="15" fillId="0" borderId="6" xfId="0" applyNumberFormat="1" applyFont="1" applyFill="1" applyBorder="1" applyAlignment="1" applyProtection="1"/>
    <xf numFmtId="168" fontId="4" fillId="0" borderId="0" xfId="0" applyNumberFormat="1" applyFont="1"/>
    <xf numFmtId="168" fontId="0" fillId="0" borderId="0" xfId="0" applyNumberFormat="1"/>
    <xf numFmtId="3" fontId="16" fillId="0" borderId="3" xfId="0" applyNumberFormat="1" applyFont="1" applyBorder="1" applyProtection="1"/>
    <xf numFmtId="168" fontId="16" fillId="0" borderId="0" xfId="0" applyNumberFormat="1" applyFont="1" applyAlignment="1" applyProtection="1">
      <alignment horizontal="left"/>
    </xf>
    <xf numFmtId="3" fontId="4" fillId="0" borderId="0" xfId="0" applyNumberFormat="1" applyFont="1"/>
    <xf numFmtId="168" fontId="15" fillId="1" borderId="5" xfId="0" applyNumberFormat="1" applyFont="1" applyFill="1" applyBorder="1" applyAlignment="1" applyProtection="1">
      <alignment horizontal="left"/>
    </xf>
    <xf numFmtId="3" fontId="24" fillId="0" borderId="3" xfId="0" applyNumberFormat="1" applyFont="1" applyBorder="1" applyAlignment="1">
      <alignment horizontal="center" vertical="center" wrapText="1" readingOrder="1"/>
    </xf>
    <xf numFmtId="168" fontId="15" fillId="1" borderId="4" xfId="0" applyNumberFormat="1" applyFont="1" applyFill="1" applyBorder="1" applyProtection="1"/>
    <xf numFmtId="0" fontId="9" fillId="0" borderId="0" xfId="0" applyFont="1" applyFill="1" applyBorder="1"/>
    <xf numFmtId="14" fontId="22" fillId="0" borderId="2" xfId="0" applyNumberFormat="1" applyFont="1" applyFill="1" applyBorder="1" applyAlignment="1" applyProtection="1"/>
    <xf numFmtId="14" fontId="22" fillId="0" borderId="2" xfId="0" applyNumberFormat="1" applyFont="1" applyBorder="1" applyAlignment="1"/>
    <xf numFmtId="0" fontId="25" fillId="0" borderId="0" xfId="0" applyFont="1"/>
    <xf numFmtId="0" fontId="26" fillId="0" borderId="0" xfId="0" applyFont="1"/>
    <xf numFmtId="0" fontId="14" fillId="0" borderId="2" xfId="0" applyFont="1" applyBorder="1"/>
    <xf numFmtId="0" fontId="17" fillId="0" borderId="2" xfId="0" applyFont="1" applyBorder="1"/>
    <xf numFmtId="168" fontId="16" fillId="0" borderId="0" xfId="0" applyNumberFormat="1" applyFont="1" applyAlignment="1" applyProtection="1">
      <alignment horizontal="center"/>
    </xf>
    <xf numFmtId="1" fontId="3" fillId="0" borderId="10" xfId="1" applyNumberFormat="1" applyFont="1" applyBorder="1" applyAlignment="1" applyProtection="1">
      <alignment vertical="center"/>
    </xf>
    <xf numFmtId="1" fontId="3" fillId="0" borderId="4" xfId="1" applyNumberFormat="1" applyFont="1" applyBorder="1" applyAlignment="1" applyProtection="1">
      <alignment vertical="center"/>
    </xf>
    <xf numFmtId="37" fontId="3" fillId="0" borderId="0" xfId="1" applyNumberFormat="1" applyFont="1" applyFill="1" applyBorder="1" applyProtection="1"/>
    <xf numFmtId="0" fontId="28" fillId="0" borderId="0" xfId="0" applyFont="1"/>
    <xf numFmtId="168" fontId="29" fillId="0" borderId="0" xfId="0" applyNumberFormat="1" applyFont="1" applyFill="1" applyBorder="1" applyProtection="1"/>
    <xf numFmtId="168" fontId="30" fillId="0" borderId="2" xfId="0" applyNumberFormat="1" applyFont="1" applyFill="1" applyBorder="1" applyProtection="1"/>
    <xf numFmtId="0" fontId="2" fillId="0" borderId="1" xfId="1" applyFont="1" applyFill="1" applyBorder="1" applyAlignment="1" applyProtection="1">
      <alignment horizontal="center"/>
    </xf>
    <xf numFmtId="0" fontId="2" fillId="0" borderId="1" xfId="1" applyFont="1" applyFill="1" applyBorder="1"/>
    <xf numFmtId="0" fontId="2" fillId="0" borderId="2" xfId="1" applyFont="1" applyFill="1" applyBorder="1"/>
    <xf numFmtId="0" fontId="2" fillId="0" borderId="3" xfId="1" applyFont="1" applyFill="1" applyBorder="1"/>
    <xf numFmtId="0" fontId="2" fillId="0" borderId="3" xfId="1" applyFont="1" applyFill="1" applyBorder="1" applyAlignment="1" applyProtection="1"/>
    <xf numFmtId="0" fontId="2" fillId="0" borderId="3" xfId="1" applyFont="1" applyFill="1" applyBorder="1" applyAlignment="1">
      <alignment horizontal="center"/>
    </xf>
    <xf numFmtId="0" fontId="2" fillId="0" borderId="5" xfId="1" applyFont="1" applyFill="1" applyBorder="1" applyAlignment="1" applyProtection="1">
      <alignment horizontal="left" vertical="center"/>
    </xf>
    <xf numFmtId="166" fontId="3" fillId="0" borderId="5" xfId="1" applyNumberFormat="1" applyFont="1" applyFill="1" applyBorder="1" applyProtection="1"/>
    <xf numFmtId="0" fontId="5" fillId="0" borderId="0" xfId="1" applyFont="1" applyAlignment="1">
      <alignment vertical="center"/>
    </xf>
    <xf numFmtId="0" fontId="2" fillId="0" borderId="3" xfId="1" applyFont="1" applyFill="1" applyBorder="1" applyAlignment="1" applyProtection="1">
      <alignment horizontal="left" vertical="center"/>
    </xf>
    <xf numFmtId="166" fontId="3" fillId="0" borderId="3" xfId="1" applyNumberFormat="1" applyFont="1" applyFill="1" applyBorder="1" applyProtection="1"/>
    <xf numFmtId="0" fontId="2" fillId="1" borderId="5" xfId="1" applyFont="1" applyFill="1" applyBorder="1" applyAlignment="1">
      <alignment horizontal="left"/>
    </xf>
    <xf numFmtId="37" fontId="3" fillId="1" borderId="5" xfId="1" applyNumberFormat="1" applyFont="1" applyFill="1" applyBorder="1" applyProtection="1"/>
    <xf numFmtId="37" fontId="3" fillId="1" borderId="6" xfId="1" applyNumberFormat="1" applyFont="1" applyFill="1" applyBorder="1" applyProtection="1"/>
    <xf numFmtId="37" fontId="3" fillId="1" borderId="10" xfId="1" applyNumberFormat="1" applyFont="1" applyFill="1" applyBorder="1" applyProtection="1"/>
    <xf numFmtId="0" fontId="2" fillId="0" borderId="3" xfId="1" applyFont="1" applyFill="1" applyBorder="1" applyAlignment="1" applyProtection="1">
      <alignment horizontal="left"/>
    </xf>
    <xf numFmtId="37" fontId="3" fillId="0" borderId="3" xfId="1" applyNumberFormat="1" applyFont="1" applyFill="1" applyBorder="1" applyProtection="1"/>
    <xf numFmtId="37" fontId="3" fillId="0" borderId="0" xfId="1" applyNumberFormat="1" applyFont="1" applyFill="1" applyProtection="1"/>
    <xf numFmtId="0" fontId="2" fillId="1" borderId="3" xfId="1" applyFont="1" applyFill="1" applyBorder="1" applyAlignment="1">
      <alignment horizontal="left"/>
    </xf>
    <xf numFmtId="37" fontId="3" fillId="1" borderId="3" xfId="1" applyNumberFormat="1" applyFont="1" applyFill="1" applyBorder="1" applyProtection="1"/>
    <xf numFmtId="37" fontId="3" fillId="1" borderId="0" xfId="1" applyNumberFormat="1" applyFont="1" applyFill="1" applyProtection="1"/>
    <xf numFmtId="37" fontId="3" fillId="1" borderId="4" xfId="1" applyNumberFormat="1" applyFont="1" applyFill="1" applyBorder="1" applyProtection="1"/>
    <xf numFmtId="164" fontId="3" fillId="0" borderId="3" xfId="1" applyNumberFormat="1" applyFont="1" applyFill="1" applyBorder="1" applyProtection="1"/>
    <xf numFmtId="164" fontId="3" fillId="0" borderId="0" xfId="1" applyNumberFormat="1" applyFont="1" applyFill="1" applyBorder="1" applyProtection="1"/>
    <xf numFmtId="164" fontId="3" fillId="0" borderId="4" xfId="1" applyNumberFormat="1" applyFont="1" applyFill="1" applyBorder="1" applyProtection="1"/>
    <xf numFmtId="37" fontId="2" fillId="1" borderId="3" xfId="1" applyNumberFormat="1" applyFont="1" applyFill="1" applyBorder="1" applyProtection="1"/>
    <xf numFmtId="37" fontId="2" fillId="1" borderId="0" xfId="1" applyNumberFormat="1" applyFont="1" applyFill="1" applyProtection="1"/>
    <xf numFmtId="37" fontId="2" fillId="1" borderId="11" xfId="1" applyNumberFormat="1" applyFont="1" applyFill="1" applyBorder="1" applyProtection="1"/>
    <xf numFmtId="0" fontId="2" fillId="0" borderId="2" xfId="1" applyFont="1" applyFill="1" applyBorder="1" applyAlignment="1">
      <alignment horizontal="left"/>
    </xf>
    <xf numFmtId="0" fontId="2" fillId="0" borderId="2" xfId="1" applyFont="1" applyFill="1" applyBorder="1" applyAlignment="1" applyProtection="1"/>
    <xf numFmtId="0" fontId="2" fillId="0" borderId="1" xfId="1" applyFont="1" applyFill="1" applyBorder="1" applyAlignment="1" applyProtection="1">
      <alignment horizontal="left"/>
    </xf>
    <xf numFmtId="0" fontId="2" fillId="0" borderId="3" xfId="1" applyFont="1" applyFill="1" applyBorder="1" applyAlignment="1">
      <alignment horizontal="left"/>
    </xf>
    <xf numFmtId="37" fontId="3" fillId="1" borderId="0" xfId="1" applyNumberFormat="1" applyFont="1" applyFill="1" applyBorder="1" applyProtection="1"/>
    <xf numFmtId="164" fontId="3" fillId="1" borderId="3" xfId="1" applyNumberFormat="1" applyFont="1" applyFill="1" applyBorder="1" applyProtection="1"/>
    <xf numFmtId="0" fontId="3" fillId="1" borderId="0" xfId="1" applyFont="1" applyFill="1"/>
    <xf numFmtId="164" fontId="3" fillId="1" borderId="0" xfId="1" applyNumberFormat="1" applyFont="1" applyFill="1" applyProtection="1"/>
    <xf numFmtId="0" fontId="3" fillId="1" borderId="3" xfId="1" applyFont="1" applyFill="1" applyBorder="1"/>
    <xf numFmtId="0" fontId="3" fillId="1" borderId="0" xfId="1" applyFont="1" applyFill="1" applyBorder="1"/>
    <xf numFmtId="0" fontId="3" fillId="1" borderId="4" xfId="1" applyFont="1" applyFill="1" applyBorder="1"/>
    <xf numFmtId="164" fontId="2" fillId="1" borderId="3" xfId="1" applyNumberFormat="1" applyFont="1" applyFill="1" applyBorder="1" applyProtection="1"/>
    <xf numFmtId="0" fontId="2" fillId="1" borderId="0" xfId="1" applyFont="1" applyFill="1"/>
    <xf numFmtId="164" fontId="2" fillId="1" borderId="0" xfId="1" applyNumberFormat="1" applyFont="1" applyFill="1" applyProtection="1"/>
    <xf numFmtId="0" fontId="2" fillId="1" borderId="3" xfId="1" applyFont="1" applyFill="1" applyBorder="1"/>
    <xf numFmtId="0" fontId="2" fillId="1" borderId="11" xfId="1" applyFont="1" applyFill="1" applyBorder="1"/>
    <xf numFmtId="0" fontId="2" fillId="1" borderId="12" xfId="1" applyFont="1" applyFill="1" applyBorder="1"/>
    <xf numFmtId="0" fontId="2" fillId="1" borderId="13" xfId="1" applyFont="1" applyFill="1" applyBorder="1"/>
    <xf numFmtId="0" fontId="5" fillId="2" borderId="0" xfId="1" applyFont="1" applyFill="1"/>
    <xf numFmtId="0" fontId="2" fillId="0" borderId="1" xfId="1" applyFont="1" applyFill="1" applyBorder="1" applyAlignment="1" applyProtection="1"/>
    <xf numFmtId="0" fontId="2" fillId="0" borderId="3" xfId="1" applyFont="1" applyFill="1" applyBorder="1" applyAlignment="1">
      <alignment vertical="center"/>
    </xf>
    <xf numFmtId="37" fontId="3" fillId="3" borderId="5" xfId="1" applyNumberFormat="1" applyFont="1" applyFill="1" applyBorder="1" applyProtection="1"/>
    <xf numFmtId="37" fontId="3" fillId="3" borderId="6" xfId="1" applyNumberFormat="1" applyFont="1" applyFill="1" applyBorder="1" applyProtection="1"/>
    <xf numFmtId="37" fontId="3" fillId="3" borderId="3" xfId="1" applyNumberFormat="1" applyFont="1" applyFill="1" applyBorder="1" applyProtection="1"/>
    <xf numFmtId="37" fontId="3" fillId="3" borderId="0" xfId="1" applyNumberFormat="1" applyFont="1" applyFill="1" applyProtection="1"/>
    <xf numFmtId="37" fontId="3" fillId="2" borderId="3" xfId="1" applyNumberFormat="1" applyFont="1" applyFill="1" applyBorder="1" applyProtection="1"/>
    <xf numFmtId="37" fontId="3" fillId="2" borderId="0" xfId="1" applyNumberFormat="1" applyFont="1" applyFill="1" applyProtection="1"/>
    <xf numFmtId="0" fontId="3" fillId="3" borderId="3" xfId="1" applyFont="1" applyFill="1" applyBorder="1"/>
    <xf numFmtId="0" fontId="3" fillId="3" borderId="0" xfId="1" applyFont="1" applyFill="1"/>
    <xf numFmtId="37" fontId="2" fillId="3" borderId="11" xfId="1" applyNumberFormat="1" applyFont="1" applyFill="1" applyBorder="1" applyProtection="1"/>
    <xf numFmtId="37" fontId="2" fillId="3" borderId="0" xfId="1" applyNumberFormat="1" applyFont="1" applyFill="1" applyProtection="1"/>
    <xf numFmtId="0" fontId="2" fillId="2" borderId="2" xfId="1" applyFont="1" applyFill="1" applyBorder="1"/>
    <xf numFmtId="0" fontId="2" fillId="0" borderId="15" xfId="1" applyFont="1" applyFill="1" applyBorder="1"/>
    <xf numFmtId="0" fontId="2" fillId="3" borderId="3" xfId="1" applyFont="1" applyFill="1" applyBorder="1"/>
    <xf numFmtId="0" fontId="2" fillId="3" borderId="0" xfId="1" applyFont="1" applyFill="1"/>
    <xf numFmtId="168" fontId="16" fillId="0" borderId="3" xfId="0" applyNumberFormat="1" applyFont="1" applyFill="1" applyBorder="1" applyProtection="1"/>
    <xf numFmtId="168" fontId="14" fillId="0" borderId="3" xfId="0" applyNumberFormat="1" applyFont="1" applyFill="1" applyBorder="1" applyProtection="1"/>
    <xf numFmtId="0" fontId="31" fillId="0" borderId="0" xfId="0" applyFont="1"/>
    <xf numFmtId="164" fontId="16" fillId="0" borderId="3" xfId="0" applyNumberFormat="1" applyFont="1" applyFill="1" applyBorder="1" applyProtection="1"/>
    <xf numFmtId="164" fontId="16" fillId="0" borderId="0" xfId="0" applyNumberFormat="1" applyFont="1" applyFill="1" applyBorder="1" applyProtection="1"/>
    <xf numFmtId="164" fontId="16" fillId="0" borderId="4" xfId="0" applyNumberFormat="1" applyFont="1" applyFill="1" applyBorder="1" applyProtection="1"/>
    <xf numFmtId="168" fontId="16" fillId="0" borderId="0" xfId="0" applyNumberFormat="1" applyFont="1" applyFill="1" applyBorder="1" applyProtection="1"/>
    <xf numFmtId="168" fontId="16" fillId="0" borderId="4" xfId="0" applyNumberFormat="1" applyFont="1" applyFill="1" applyBorder="1" applyProtection="1"/>
    <xf numFmtId="0" fontId="14" fillId="0" borderId="0" xfId="0" applyFont="1" applyFill="1" applyBorder="1"/>
    <xf numFmtId="0" fontId="2" fillId="0" borderId="16" xfId="1" applyFont="1" applyFill="1" applyBorder="1" applyAlignment="1" applyProtection="1">
      <alignment horizontal="left" vertical="center"/>
    </xf>
    <xf numFmtId="0" fontId="2" fillId="0" borderId="14" xfId="1" applyFont="1" applyFill="1" applyBorder="1" applyAlignment="1" applyProtection="1">
      <alignment horizontal="left" vertical="center"/>
    </xf>
    <xf numFmtId="3" fontId="16" fillId="0" borderId="4" xfId="0" applyNumberFormat="1" applyFont="1" applyBorder="1" applyProtection="1"/>
    <xf numFmtId="168" fontId="15" fillId="0" borderId="20" xfId="0" applyNumberFormat="1" applyFont="1" applyFill="1" applyBorder="1" applyAlignment="1" applyProtection="1"/>
    <xf numFmtId="168" fontId="15" fillId="0" borderId="22" xfId="0" applyNumberFormat="1" applyFont="1" applyFill="1" applyBorder="1" applyAlignment="1" applyProtection="1"/>
    <xf numFmtId="3" fontId="15" fillId="0" borderId="20" xfId="0" applyNumberFormat="1" applyFont="1" applyFill="1" applyBorder="1" applyProtection="1"/>
    <xf numFmtId="3" fontId="15" fillId="0" borderId="21" xfId="0" applyNumberFormat="1" applyFont="1" applyFill="1" applyBorder="1" applyProtection="1"/>
    <xf numFmtId="168" fontId="16" fillId="0" borderId="22" xfId="0" applyNumberFormat="1" applyFont="1" applyBorder="1" applyAlignment="1" applyProtection="1">
      <alignment horizontal="center"/>
    </xf>
    <xf numFmtId="3" fontId="15" fillId="0" borderId="22" xfId="0" applyNumberFormat="1" applyFont="1" applyFill="1" applyBorder="1" applyProtection="1"/>
    <xf numFmtId="168" fontId="15" fillId="0" borderId="20" xfId="0" applyNumberFormat="1" applyFont="1" applyFill="1" applyBorder="1" applyAlignment="1" applyProtection="1">
      <alignment horizontal="center"/>
    </xf>
    <xf numFmtId="168" fontId="15" fillId="0" borderId="16" xfId="0" applyNumberFormat="1" applyFont="1" applyFill="1" applyBorder="1" applyAlignment="1" applyProtection="1"/>
    <xf numFmtId="0" fontId="11" fillId="0" borderId="0" xfId="0" applyFont="1" applyFill="1" applyProtection="1"/>
    <xf numFmtId="1" fontId="32" fillId="0" borderId="0" xfId="0" applyNumberFormat="1" applyFont="1"/>
    <xf numFmtId="168" fontId="33" fillId="0" borderId="0" xfId="0" applyNumberFormat="1" applyFont="1"/>
    <xf numFmtId="168" fontId="3" fillId="0" borderId="23" xfId="1" applyNumberFormat="1" applyFont="1" applyBorder="1" applyProtection="1"/>
    <xf numFmtId="1" fontId="3" fillId="0" borderId="4" xfId="1" applyNumberFormat="1" applyFont="1" applyFill="1" applyBorder="1" applyAlignment="1" applyProtection="1">
      <alignment vertical="center"/>
    </xf>
    <xf numFmtId="168" fontId="2" fillId="0" borderId="3" xfId="1" applyNumberFormat="1" applyFont="1" applyFill="1" applyBorder="1" applyAlignment="1">
      <alignment vertical="center"/>
    </xf>
    <xf numFmtId="168" fontId="15" fillId="0" borderId="3" xfId="0" applyNumberFormat="1" applyFont="1" applyFill="1" applyBorder="1" applyAlignment="1" applyProtection="1">
      <alignment horizontal="center"/>
    </xf>
    <xf numFmtId="168" fontId="15" fillId="0" borderId="3" xfId="0" applyNumberFormat="1" applyFont="1" applyFill="1" applyBorder="1" applyAlignment="1" applyProtection="1">
      <alignment horizontal="center"/>
    </xf>
    <xf numFmtId="168" fontId="15" fillId="0" borderId="0" xfId="0" applyNumberFormat="1" applyFont="1" applyFill="1" applyBorder="1" applyAlignment="1" applyProtection="1">
      <alignment horizontal="center"/>
    </xf>
    <xf numFmtId="168" fontId="15" fillId="0" borderId="4" xfId="0" applyNumberFormat="1" applyFont="1" applyFill="1" applyBorder="1" applyAlignment="1" applyProtection="1">
      <alignment horizontal="center"/>
    </xf>
    <xf numFmtId="166" fontId="6" fillId="0" borderId="3" xfId="1" applyNumberFormat="1" applyFont="1" applyFill="1" applyBorder="1" applyAlignment="1" applyProtection="1">
      <alignment horizontal="right"/>
    </xf>
  </cellXfs>
  <cellStyles count="12">
    <cellStyle name="Milliers 2" xfId="2"/>
    <cellStyle name="Milliers 3" xfId="11"/>
    <cellStyle name="Normal" xfId="0" builtinId="0"/>
    <cellStyle name="Normal 2" xfId="1"/>
    <cellStyle name="style1541010502614" xfId="3"/>
    <cellStyle name="style1541010502645" xfId="4"/>
    <cellStyle name="style1541010502789" xfId="5"/>
    <cellStyle name="style1541010502849" xfId="6"/>
    <cellStyle name="style1541010503045" xfId="9"/>
    <cellStyle name="style1541010503729" xfId="7"/>
    <cellStyle name="style1541010503789" xfId="8"/>
    <cellStyle name="style1541010503847" xfId="1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S36"/>
  <sheetViews>
    <sheetView tabSelected="1" zoomScale="75" zoomScaleNormal="75" workbookViewId="0">
      <selection activeCell="U24" sqref="U24"/>
    </sheetView>
  </sheetViews>
  <sheetFormatPr baseColWidth="10" defaultRowHeight="12.75" x14ac:dyDescent="0.2"/>
  <cols>
    <col min="1" max="1" width="39.140625" style="12" customWidth="1"/>
    <col min="2" max="4" width="16.28515625" style="12" customWidth="1"/>
    <col min="5" max="9" width="14.42578125" style="12" customWidth="1"/>
    <col min="10" max="10" width="17.5703125" style="12" customWidth="1"/>
    <col min="11" max="11" width="17.5703125" style="167" customWidth="1"/>
    <col min="12" max="12" width="14.42578125" style="167" customWidth="1"/>
    <col min="13" max="13" width="16.28515625" style="167" customWidth="1"/>
    <col min="14" max="19" width="14.42578125" style="12" customWidth="1"/>
    <col min="20" max="246" width="11.42578125" style="12"/>
    <col min="247" max="247" width="34" style="12" customWidth="1"/>
    <col min="248" max="248" width="12.28515625" style="12" customWidth="1"/>
    <col min="249" max="249" width="9.42578125" style="12" customWidth="1"/>
    <col min="250" max="250" width="11.140625" style="12" customWidth="1"/>
    <col min="251" max="251" width="10.140625" style="12" customWidth="1"/>
    <col min="252" max="254" width="9.7109375" style="12" customWidth="1"/>
    <col min="255" max="255" width="10.140625" style="12" customWidth="1"/>
    <col min="256" max="256" width="11.42578125" style="12" bestFit="1" customWidth="1"/>
    <col min="257" max="257" width="11" style="12" customWidth="1"/>
    <col min="258" max="258" width="9.7109375" style="12" customWidth="1"/>
    <col min="259" max="259" width="11" style="12" customWidth="1"/>
    <col min="260" max="260" width="11.42578125" style="12" customWidth="1"/>
    <col min="261" max="262" width="9.7109375" style="12" customWidth="1"/>
    <col min="263" max="263" width="11.28515625" style="12" customWidth="1"/>
    <col min="264" max="264" width="12.140625" style="12" customWidth="1"/>
    <col min="265" max="265" width="9.7109375" style="12" customWidth="1"/>
    <col min="266" max="266" width="11" style="12" customWidth="1"/>
    <col min="267" max="267" width="8.140625" style="12" customWidth="1"/>
    <col min="268" max="268" width="11" style="12" customWidth="1"/>
    <col min="269" max="269" width="9.85546875" style="12" customWidth="1"/>
    <col min="270" max="270" width="8.85546875" style="12" customWidth="1"/>
    <col min="271" max="502" width="11.42578125" style="12"/>
    <col min="503" max="503" width="34" style="12" customWidth="1"/>
    <col min="504" max="504" width="12.28515625" style="12" customWidth="1"/>
    <col min="505" max="505" width="9.42578125" style="12" customWidth="1"/>
    <col min="506" max="506" width="11.140625" style="12" customWidth="1"/>
    <col min="507" max="507" width="10.140625" style="12" customWidth="1"/>
    <col min="508" max="510" width="9.7109375" style="12" customWidth="1"/>
    <col min="511" max="511" width="10.140625" style="12" customWidth="1"/>
    <col min="512" max="512" width="11.42578125" style="12" bestFit="1" customWidth="1"/>
    <col min="513" max="513" width="11" style="12" customWidth="1"/>
    <col min="514" max="514" width="9.7109375" style="12" customWidth="1"/>
    <col min="515" max="515" width="11" style="12" customWidth="1"/>
    <col min="516" max="516" width="11.42578125" style="12" customWidth="1"/>
    <col min="517" max="518" width="9.7109375" style="12" customWidth="1"/>
    <col min="519" max="519" width="11.28515625" style="12" customWidth="1"/>
    <col min="520" max="520" width="12.140625" style="12" customWidth="1"/>
    <col min="521" max="521" width="9.7109375" style="12" customWidth="1"/>
    <col min="522" max="522" width="11" style="12" customWidth="1"/>
    <col min="523" max="523" width="8.140625" style="12" customWidth="1"/>
    <col min="524" max="524" width="11" style="12" customWidth="1"/>
    <col min="525" max="525" width="9.85546875" style="12" customWidth="1"/>
    <col min="526" max="526" width="8.85546875" style="12" customWidth="1"/>
    <col min="527" max="758" width="11.42578125" style="12"/>
    <col min="759" max="759" width="34" style="12" customWidth="1"/>
    <col min="760" max="760" width="12.28515625" style="12" customWidth="1"/>
    <col min="761" max="761" width="9.42578125" style="12" customWidth="1"/>
    <col min="762" max="762" width="11.140625" style="12" customWidth="1"/>
    <col min="763" max="763" width="10.140625" style="12" customWidth="1"/>
    <col min="764" max="766" width="9.7109375" style="12" customWidth="1"/>
    <col min="767" max="767" width="10.140625" style="12" customWidth="1"/>
    <col min="768" max="768" width="11.42578125" style="12" bestFit="1" customWidth="1"/>
    <col min="769" max="769" width="11" style="12" customWidth="1"/>
    <col min="770" max="770" width="9.7109375" style="12" customWidth="1"/>
    <col min="771" max="771" width="11" style="12" customWidth="1"/>
    <col min="772" max="772" width="11.42578125" style="12" customWidth="1"/>
    <col min="773" max="774" width="9.7109375" style="12" customWidth="1"/>
    <col min="775" max="775" width="11.28515625" style="12" customWidth="1"/>
    <col min="776" max="776" width="12.140625" style="12" customWidth="1"/>
    <col min="777" max="777" width="9.7109375" style="12" customWidth="1"/>
    <col min="778" max="778" width="11" style="12" customWidth="1"/>
    <col min="779" max="779" width="8.140625" style="12" customWidth="1"/>
    <col min="780" max="780" width="11" style="12" customWidth="1"/>
    <col min="781" max="781" width="9.85546875" style="12" customWidth="1"/>
    <col min="782" max="782" width="8.85546875" style="12" customWidth="1"/>
    <col min="783" max="1014" width="11.42578125" style="12"/>
    <col min="1015" max="1015" width="34" style="12" customWidth="1"/>
    <col min="1016" max="1016" width="12.28515625" style="12" customWidth="1"/>
    <col min="1017" max="1017" width="9.42578125" style="12" customWidth="1"/>
    <col min="1018" max="1018" width="11.140625" style="12" customWidth="1"/>
    <col min="1019" max="1019" width="10.140625" style="12" customWidth="1"/>
    <col min="1020" max="1022" width="9.7109375" style="12" customWidth="1"/>
    <col min="1023" max="1023" width="10.140625" style="12" customWidth="1"/>
    <col min="1024" max="1024" width="11.42578125" style="12" bestFit="1" customWidth="1"/>
    <col min="1025" max="1025" width="11" style="12" customWidth="1"/>
    <col min="1026" max="1026" width="9.7109375" style="12" customWidth="1"/>
    <col min="1027" max="1027" width="11" style="12" customWidth="1"/>
    <col min="1028" max="1028" width="11.42578125" style="12" customWidth="1"/>
    <col min="1029" max="1030" width="9.7109375" style="12" customWidth="1"/>
    <col min="1031" max="1031" width="11.28515625" style="12" customWidth="1"/>
    <col min="1032" max="1032" width="12.140625" style="12" customWidth="1"/>
    <col min="1033" max="1033" width="9.7109375" style="12" customWidth="1"/>
    <col min="1034" max="1034" width="11" style="12" customWidth="1"/>
    <col min="1035" max="1035" width="8.140625" style="12" customWidth="1"/>
    <col min="1036" max="1036" width="11" style="12" customWidth="1"/>
    <col min="1037" max="1037" width="9.85546875" style="12" customWidth="1"/>
    <col min="1038" max="1038" width="8.85546875" style="12" customWidth="1"/>
    <col min="1039" max="1270" width="11.42578125" style="12"/>
    <col min="1271" max="1271" width="34" style="12" customWidth="1"/>
    <col min="1272" max="1272" width="12.28515625" style="12" customWidth="1"/>
    <col min="1273" max="1273" width="9.42578125" style="12" customWidth="1"/>
    <col min="1274" max="1274" width="11.140625" style="12" customWidth="1"/>
    <col min="1275" max="1275" width="10.140625" style="12" customWidth="1"/>
    <col min="1276" max="1278" width="9.7109375" style="12" customWidth="1"/>
    <col min="1279" max="1279" width="10.140625" style="12" customWidth="1"/>
    <col min="1280" max="1280" width="11.42578125" style="12" bestFit="1" customWidth="1"/>
    <col min="1281" max="1281" width="11" style="12" customWidth="1"/>
    <col min="1282" max="1282" width="9.7109375" style="12" customWidth="1"/>
    <col min="1283" max="1283" width="11" style="12" customWidth="1"/>
    <col min="1284" max="1284" width="11.42578125" style="12" customWidth="1"/>
    <col min="1285" max="1286" width="9.7109375" style="12" customWidth="1"/>
    <col min="1287" max="1287" width="11.28515625" style="12" customWidth="1"/>
    <col min="1288" max="1288" width="12.140625" style="12" customWidth="1"/>
    <col min="1289" max="1289" width="9.7109375" style="12" customWidth="1"/>
    <col min="1290" max="1290" width="11" style="12" customWidth="1"/>
    <col min="1291" max="1291" width="8.140625" style="12" customWidth="1"/>
    <col min="1292" max="1292" width="11" style="12" customWidth="1"/>
    <col min="1293" max="1293" width="9.85546875" style="12" customWidth="1"/>
    <col min="1294" max="1294" width="8.85546875" style="12" customWidth="1"/>
    <col min="1295" max="1526" width="11.42578125" style="12"/>
    <col min="1527" max="1527" width="34" style="12" customWidth="1"/>
    <col min="1528" max="1528" width="12.28515625" style="12" customWidth="1"/>
    <col min="1529" max="1529" width="9.42578125" style="12" customWidth="1"/>
    <col min="1530" max="1530" width="11.140625" style="12" customWidth="1"/>
    <col min="1531" max="1531" width="10.140625" style="12" customWidth="1"/>
    <col min="1532" max="1534" width="9.7109375" style="12" customWidth="1"/>
    <col min="1535" max="1535" width="10.140625" style="12" customWidth="1"/>
    <col min="1536" max="1536" width="11.42578125" style="12" bestFit="1" customWidth="1"/>
    <col min="1537" max="1537" width="11" style="12" customWidth="1"/>
    <col min="1538" max="1538" width="9.7109375" style="12" customWidth="1"/>
    <col min="1539" max="1539" width="11" style="12" customWidth="1"/>
    <col min="1540" max="1540" width="11.42578125" style="12" customWidth="1"/>
    <col min="1541" max="1542" width="9.7109375" style="12" customWidth="1"/>
    <col min="1543" max="1543" width="11.28515625" style="12" customWidth="1"/>
    <col min="1544" max="1544" width="12.140625" style="12" customWidth="1"/>
    <col min="1545" max="1545" width="9.7109375" style="12" customWidth="1"/>
    <col min="1546" max="1546" width="11" style="12" customWidth="1"/>
    <col min="1547" max="1547" width="8.140625" style="12" customWidth="1"/>
    <col min="1548" max="1548" width="11" style="12" customWidth="1"/>
    <col min="1549" max="1549" width="9.85546875" style="12" customWidth="1"/>
    <col min="1550" max="1550" width="8.85546875" style="12" customWidth="1"/>
    <col min="1551" max="1782" width="11.42578125" style="12"/>
    <col min="1783" max="1783" width="34" style="12" customWidth="1"/>
    <col min="1784" max="1784" width="12.28515625" style="12" customWidth="1"/>
    <col min="1785" max="1785" width="9.42578125" style="12" customWidth="1"/>
    <col min="1786" max="1786" width="11.140625" style="12" customWidth="1"/>
    <col min="1787" max="1787" width="10.140625" style="12" customWidth="1"/>
    <col min="1788" max="1790" width="9.7109375" style="12" customWidth="1"/>
    <col min="1791" max="1791" width="10.140625" style="12" customWidth="1"/>
    <col min="1792" max="1792" width="11.42578125" style="12" bestFit="1" customWidth="1"/>
    <col min="1793" max="1793" width="11" style="12" customWidth="1"/>
    <col min="1794" max="1794" width="9.7109375" style="12" customWidth="1"/>
    <col min="1795" max="1795" width="11" style="12" customWidth="1"/>
    <col min="1796" max="1796" width="11.42578125" style="12" customWidth="1"/>
    <col min="1797" max="1798" width="9.7109375" style="12" customWidth="1"/>
    <col min="1799" max="1799" width="11.28515625" style="12" customWidth="1"/>
    <col min="1800" max="1800" width="12.140625" style="12" customWidth="1"/>
    <col min="1801" max="1801" width="9.7109375" style="12" customWidth="1"/>
    <col min="1802" max="1802" width="11" style="12" customWidth="1"/>
    <col min="1803" max="1803" width="8.140625" style="12" customWidth="1"/>
    <col min="1804" max="1804" width="11" style="12" customWidth="1"/>
    <col min="1805" max="1805" width="9.85546875" style="12" customWidth="1"/>
    <col min="1806" max="1806" width="8.85546875" style="12" customWidth="1"/>
    <col min="1807" max="2038" width="11.42578125" style="12"/>
    <col min="2039" max="2039" width="34" style="12" customWidth="1"/>
    <col min="2040" max="2040" width="12.28515625" style="12" customWidth="1"/>
    <col min="2041" max="2041" width="9.42578125" style="12" customWidth="1"/>
    <col min="2042" max="2042" width="11.140625" style="12" customWidth="1"/>
    <col min="2043" max="2043" width="10.140625" style="12" customWidth="1"/>
    <col min="2044" max="2046" width="9.7109375" style="12" customWidth="1"/>
    <col min="2047" max="2047" width="10.140625" style="12" customWidth="1"/>
    <col min="2048" max="2048" width="11.42578125" style="12" bestFit="1" customWidth="1"/>
    <col min="2049" max="2049" width="11" style="12" customWidth="1"/>
    <col min="2050" max="2050" width="9.7109375" style="12" customWidth="1"/>
    <col min="2051" max="2051" width="11" style="12" customWidth="1"/>
    <col min="2052" max="2052" width="11.42578125" style="12" customWidth="1"/>
    <col min="2053" max="2054" width="9.7109375" style="12" customWidth="1"/>
    <col min="2055" max="2055" width="11.28515625" style="12" customWidth="1"/>
    <col min="2056" max="2056" width="12.140625" style="12" customWidth="1"/>
    <col min="2057" max="2057" width="9.7109375" style="12" customWidth="1"/>
    <col min="2058" max="2058" width="11" style="12" customWidth="1"/>
    <col min="2059" max="2059" width="8.140625" style="12" customWidth="1"/>
    <col min="2060" max="2060" width="11" style="12" customWidth="1"/>
    <col min="2061" max="2061" width="9.85546875" style="12" customWidth="1"/>
    <col min="2062" max="2062" width="8.85546875" style="12" customWidth="1"/>
    <col min="2063" max="2294" width="11.42578125" style="12"/>
    <col min="2295" max="2295" width="34" style="12" customWidth="1"/>
    <col min="2296" max="2296" width="12.28515625" style="12" customWidth="1"/>
    <col min="2297" max="2297" width="9.42578125" style="12" customWidth="1"/>
    <col min="2298" max="2298" width="11.140625" style="12" customWidth="1"/>
    <col min="2299" max="2299" width="10.140625" style="12" customWidth="1"/>
    <col min="2300" max="2302" width="9.7109375" style="12" customWidth="1"/>
    <col min="2303" max="2303" width="10.140625" style="12" customWidth="1"/>
    <col min="2304" max="2304" width="11.42578125" style="12" bestFit="1" customWidth="1"/>
    <col min="2305" max="2305" width="11" style="12" customWidth="1"/>
    <col min="2306" max="2306" width="9.7109375" style="12" customWidth="1"/>
    <col min="2307" max="2307" width="11" style="12" customWidth="1"/>
    <col min="2308" max="2308" width="11.42578125" style="12" customWidth="1"/>
    <col min="2309" max="2310" width="9.7109375" style="12" customWidth="1"/>
    <col min="2311" max="2311" width="11.28515625" style="12" customWidth="1"/>
    <col min="2312" max="2312" width="12.140625" style="12" customWidth="1"/>
    <col min="2313" max="2313" width="9.7109375" style="12" customWidth="1"/>
    <col min="2314" max="2314" width="11" style="12" customWidth="1"/>
    <col min="2315" max="2315" width="8.140625" style="12" customWidth="1"/>
    <col min="2316" max="2316" width="11" style="12" customWidth="1"/>
    <col min="2317" max="2317" width="9.85546875" style="12" customWidth="1"/>
    <col min="2318" max="2318" width="8.85546875" style="12" customWidth="1"/>
    <col min="2319" max="2550" width="11.42578125" style="12"/>
    <col min="2551" max="2551" width="34" style="12" customWidth="1"/>
    <col min="2552" max="2552" width="12.28515625" style="12" customWidth="1"/>
    <col min="2553" max="2553" width="9.42578125" style="12" customWidth="1"/>
    <col min="2554" max="2554" width="11.140625" style="12" customWidth="1"/>
    <col min="2555" max="2555" width="10.140625" style="12" customWidth="1"/>
    <col min="2556" max="2558" width="9.7109375" style="12" customWidth="1"/>
    <col min="2559" max="2559" width="10.140625" style="12" customWidth="1"/>
    <col min="2560" max="2560" width="11.42578125" style="12" bestFit="1" customWidth="1"/>
    <col min="2561" max="2561" width="11" style="12" customWidth="1"/>
    <col min="2562" max="2562" width="9.7109375" style="12" customWidth="1"/>
    <col min="2563" max="2563" width="11" style="12" customWidth="1"/>
    <col min="2564" max="2564" width="11.42578125" style="12" customWidth="1"/>
    <col min="2565" max="2566" width="9.7109375" style="12" customWidth="1"/>
    <col min="2567" max="2567" width="11.28515625" style="12" customWidth="1"/>
    <col min="2568" max="2568" width="12.140625" style="12" customWidth="1"/>
    <col min="2569" max="2569" width="9.7109375" style="12" customWidth="1"/>
    <col min="2570" max="2570" width="11" style="12" customWidth="1"/>
    <col min="2571" max="2571" width="8.140625" style="12" customWidth="1"/>
    <col min="2572" max="2572" width="11" style="12" customWidth="1"/>
    <col min="2573" max="2573" width="9.85546875" style="12" customWidth="1"/>
    <col min="2574" max="2574" width="8.85546875" style="12" customWidth="1"/>
    <col min="2575" max="2806" width="11.42578125" style="12"/>
    <col min="2807" max="2807" width="34" style="12" customWidth="1"/>
    <col min="2808" max="2808" width="12.28515625" style="12" customWidth="1"/>
    <col min="2809" max="2809" width="9.42578125" style="12" customWidth="1"/>
    <col min="2810" max="2810" width="11.140625" style="12" customWidth="1"/>
    <col min="2811" max="2811" width="10.140625" style="12" customWidth="1"/>
    <col min="2812" max="2814" width="9.7109375" style="12" customWidth="1"/>
    <col min="2815" max="2815" width="10.140625" style="12" customWidth="1"/>
    <col min="2816" max="2816" width="11.42578125" style="12" bestFit="1" customWidth="1"/>
    <col min="2817" max="2817" width="11" style="12" customWidth="1"/>
    <col min="2818" max="2818" width="9.7109375" style="12" customWidth="1"/>
    <col min="2819" max="2819" width="11" style="12" customWidth="1"/>
    <col min="2820" max="2820" width="11.42578125" style="12" customWidth="1"/>
    <col min="2821" max="2822" width="9.7109375" style="12" customWidth="1"/>
    <col min="2823" max="2823" width="11.28515625" style="12" customWidth="1"/>
    <col min="2824" max="2824" width="12.140625" style="12" customWidth="1"/>
    <col min="2825" max="2825" width="9.7109375" style="12" customWidth="1"/>
    <col min="2826" max="2826" width="11" style="12" customWidth="1"/>
    <col min="2827" max="2827" width="8.140625" style="12" customWidth="1"/>
    <col min="2828" max="2828" width="11" style="12" customWidth="1"/>
    <col min="2829" max="2829" width="9.85546875" style="12" customWidth="1"/>
    <col min="2830" max="2830" width="8.85546875" style="12" customWidth="1"/>
    <col min="2831" max="3062" width="11.42578125" style="12"/>
    <col min="3063" max="3063" width="34" style="12" customWidth="1"/>
    <col min="3064" max="3064" width="12.28515625" style="12" customWidth="1"/>
    <col min="3065" max="3065" width="9.42578125" style="12" customWidth="1"/>
    <col min="3066" max="3066" width="11.140625" style="12" customWidth="1"/>
    <col min="3067" max="3067" width="10.140625" style="12" customWidth="1"/>
    <col min="3068" max="3070" width="9.7109375" style="12" customWidth="1"/>
    <col min="3071" max="3071" width="10.140625" style="12" customWidth="1"/>
    <col min="3072" max="3072" width="11.42578125" style="12" bestFit="1" customWidth="1"/>
    <col min="3073" max="3073" width="11" style="12" customWidth="1"/>
    <col min="3074" max="3074" width="9.7109375" style="12" customWidth="1"/>
    <col min="3075" max="3075" width="11" style="12" customWidth="1"/>
    <col min="3076" max="3076" width="11.42578125" style="12" customWidth="1"/>
    <col min="3077" max="3078" width="9.7109375" style="12" customWidth="1"/>
    <col min="3079" max="3079" width="11.28515625" style="12" customWidth="1"/>
    <col min="3080" max="3080" width="12.140625" style="12" customWidth="1"/>
    <col min="3081" max="3081" width="9.7109375" style="12" customWidth="1"/>
    <col min="3082" max="3082" width="11" style="12" customWidth="1"/>
    <col min="3083" max="3083" width="8.140625" style="12" customWidth="1"/>
    <col min="3084" max="3084" width="11" style="12" customWidth="1"/>
    <col min="3085" max="3085" width="9.85546875" style="12" customWidth="1"/>
    <col min="3086" max="3086" width="8.85546875" style="12" customWidth="1"/>
    <col min="3087" max="3318" width="11.42578125" style="12"/>
    <col min="3319" max="3319" width="34" style="12" customWidth="1"/>
    <col min="3320" max="3320" width="12.28515625" style="12" customWidth="1"/>
    <col min="3321" max="3321" width="9.42578125" style="12" customWidth="1"/>
    <col min="3322" max="3322" width="11.140625" style="12" customWidth="1"/>
    <col min="3323" max="3323" width="10.140625" style="12" customWidth="1"/>
    <col min="3324" max="3326" width="9.7109375" style="12" customWidth="1"/>
    <col min="3327" max="3327" width="10.140625" style="12" customWidth="1"/>
    <col min="3328" max="3328" width="11.42578125" style="12" bestFit="1" customWidth="1"/>
    <col min="3329" max="3329" width="11" style="12" customWidth="1"/>
    <col min="3330" max="3330" width="9.7109375" style="12" customWidth="1"/>
    <col min="3331" max="3331" width="11" style="12" customWidth="1"/>
    <col min="3332" max="3332" width="11.42578125" style="12" customWidth="1"/>
    <col min="3333" max="3334" width="9.7109375" style="12" customWidth="1"/>
    <col min="3335" max="3335" width="11.28515625" style="12" customWidth="1"/>
    <col min="3336" max="3336" width="12.140625" style="12" customWidth="1"/>
    <col min="3337" max="3337" width="9.7109375" style="12" customWidth="1"/>
    <col min="3338" max="3338" width="11" style="12" customWidth="1"/>
    <col min="3339" max="3339" width="8.140625" style="12" customWidth="1"/>
    <col min="3340" max="3340" width="11" style="12" customWidth="1"/>
    <col min="3341" max="3341" width="9.85546875" style="12" customWidth="1"/>
    <col min="3342" max="3342" width="8.85546875" style="12" customWidth="1"/>
    <col min="3343" max="3574" width="11.42578125" style="12"/>
    <col min="3575" max="3575" width="34" style="12" customWidth="1"/>
    <col min="3576" max="3576" width="12.28515625" style="12" customWidth="1"/>
    <col min="3577" max="3577" width="9.42578125" style="12" customWidth="1"/>
    <col min="3578" max="3578" width="11.140625" style="12" customWidth="1"/>
    <col min="3579" max="3579" width="10.140625" style="12" customWidth="1"/>
    <col min="3580" max="3582" width="9.7109375" style="12" customWidth="1"/>
    <col min="3583" max="3583" width="10.140625" style="12" customWidth="1"/>
    <col min="3584" max="3584" width="11.42578125" style="12" bestFit="1" customWidth="1"/>
    <col min="3585" max="3585" width="11" style="12" customWidth="1"/>
    <col min="3586" max="3586" width="9.7109375" style="12" customWidth="1"/>
    <col min="3587" max="3587" width="11" style="12" customWidth="1"/>
    <col min="3588" max="3588" width="11.42578125" style="12" customWidth="1"/>
    <col min="3589" max="3590" width="9.7109375" style="12" customWidth="1"/>
    <col min="3591" max="3591" width="11.28515625" style="12" customWidth="1"/>
    <col min="3592" max="3592" width="12.140625" style="12" customWidth="1"/>
    <col min="3593" max="3593" width="9.7109375" style="12" customWidth="1"/>
    <col min="3594" max="3594" width="11" style="12" customWidth="1"/>
    <col min="3595" max="3595" width="8.140625" style="12" customWidth="1"/>
    <col min="3596" max="3596" width="11" style="12" customWidth="1"/>
    <col min="3597" max="3597" width="9.85546875" style="12" customWidth="1"/>
    <col min="3598" max="3598" width="8.85546875" style="12" customWidth="1"/>
    <col min="3599" max="3830" width="11.42578125" style="12"/>
    <col min="3831" max="3831" width="34" style="12" customWidth="1"/>
    <col min="3832" max="3832" width="12.28515625" style="12" customWidth="1"/>
    <col min="3833" max="3833" width="9.42578125" style="12" customWidth="1"/>
    <col min="3834" max="3834" width="11.140625" style="12" customWidth="1"/>
    <col min="3835" max="3835" width="10.140625" style="12" customWidth="1"/>
    <col min="3836" max="3838" width="9.7109375" style="12" customWidth="1"/>
    <col min="3839" max="3839" width="10.140625" style="12" customWidth="1"/>
    <col min="3840" max="3840" width="11.42578125" style="12" bestFit="1" customWidth="1"/>
    <col min="3841" max="3841" width="11" style="12" customWidth="1"/>
    <col min="3842" max="3842" width="9.7109375" style="12" customWidth="1"/>
    <col min="3843" max="3843" width="11" style="12" customWidth="1"/>
    <col min="3844" max="3844" width="11.42578125" style="12" customWidth="1"/>
    <col min="3845" max="3846" width="9.7109375" style="12" customWidth="1"/>
    <col min="3847" max="3847" width="11.28515625" style="12" customWidth="1"/>
    <col min="3848" max="3848" width="12.140625" style="12" customWidth="1"/>
    <col min="3849" max="3849" width="9.7109375" style="12" customWidth="1"/>
    <col min="3850" max="3850" width="11" style="12" customWidth="1"/>
    <col min="3851" max="3851" width="8.140625" style="12" customWidth="1"/>
    <col min="3852" max="3852" width="11" style="12" customWidth="1"/>
    <col min="3853" max="3853" width="9.85546875" style="12" customWidth="1"/>
    <col min="3854" max="3854" width="8.85546875" style="12" customWidth="1"/>
    <col min="3855" max="4086" width="11.42578125" style="12"/>
    <col min="4087" max="4087" width="34" style="12" customWidth="1"/>
    <col min="4088" max="4088" width="12.28515625" style="12" customWidth="1"/>
    <col min="4089" max="4089" width="9.42578125" style="12" customWidth="1"/>
    <col min="4090" max="4090" width="11.140625" style="12" customWidth="1"/>
    <col min="4091" max="4091" width="10.140625" style="12" customWidth="1"/>
    <col min="4092" max="4094" width="9.7109375" style="12" customWidth="1"/>
    <col min="4095" max="4095" width="10.140625" style="12" customWidth="1"/>
    <col min="4096" max="4096" width="11.42578125" style="12" bestFit="1" customWidth="1"/>
    <col min="4097" max="4097" width="11" style="12" customWidth="1"/>
    <col min="4098" max="4098" width="9.7109375" style="12" customWidth="1"/>
    <col min="4099" max="4099" width="11" style="12" customWidth="1"/>
    <col min="4100" max="4100" width="11.42578125" style="12" customWidth="1"/>
    <col min="4101" max="4102" width="9.7109375" style="12" customWidth="1"/>
    <col min="4103" max="4103" width="11.28515625" style="12" customWidth="1"/>
    <col min="4104" max="4104" width="12.140625" style="12" customWidth="1"/>
    <col min="4105" max="4105" width="9.7109375" style="12" customWidth="1"/>
    <col min="4106" max="4106" width="11" style="12" customWidth="1"/>
    <col min="4107" max="4107" width="8.140625" style="12" customWidth="1"/>
    <col min="4108" max="4108" width="11" style="12" customWidth="1"/>
    <col min="4109" max="4109" width="9.85546875" style="12" customWidth="1"/>
    <col min="4110" max="4110" width="8.85546875" style="12" customWidth="1"/>
    <col min="4111" max="4342" width="11.42578125" style="12"/>
    <col min="4343" max="4343" width="34" style="12" customWidth="1"/>
    <col min="4344" max="4344" width="12.28515625" style="12" customWidth="1"/>
    <col min="4345" max="4345" width="9.42578125" style="12" customWidth="1"/>
    <col min="4346" max="4346" width="11.140625" style="12" customWidth="1"/>
    <col min="4347" max="4347" width="10.140625" style="12" customWidth="1"/>
    <col min="4348" max="4350" width="9.7109375" style="12" customWidth="1"/>
    <col min="4351" max="4351" width="10.140625" style="12" customWidth="1"/>
    <col min="4352" max="4352" width="11.42578125" style="12" bestFit="1" customWidth="1"/>
    <col min="4353" max="4353" width="11" style="12" customWidth="1"/>
    <col min="4354" max="4354" width="9.7109375" style="12" customWidth="1"/>
    <col min="4355" max="4355" width="11" style="12" customWidth="1"/>
    <col min="4356" max="4356" width="11.42578125" style="12" customWidth="1"/>
    <col min="4357" max="4358" width="9.7109375" style="12" customWidth="1"/>
    <col min="4359" max="4359" width="11.28515625" style="12" customWidth="1"/>
    <col min="4360" max="4360" width="12.140625" style="12" customWidth="1"/>
    <col min="4361" max="4361" width="9.7109375" style="12" customWidth="1"/>
    <col min="4362" max="4362" width="11" style="12" customWidth="1"/>
    <col min="4363" max="4363" width="8.140625" style="12" customWidth="1"/>
    <col min="4364" max="4364" width="11" style="12" customWidth="1"/>
    <col min="4365" max="4365" width="9.85546875" style="12" customWidth="1"/>
    <col min="4366" max="4366" width="8.85546875" style="12" customWidth="1"/>
    <col min="4367" max="4598" width="11.42578125" style="12"/>
    <col min="4599" max="4599" width="34" style="12" customWidth="1"/>
    <col min="4600" max="4600" width="12.28515625" style="12" customWidth="1"/>
    <col min="4601" max="4601" width="9.42578125" style="12" customWidth="1"/>
    <col min="4602" max="4602" width="11.140625" style="12" customWidth="1"/>
    <col min="4603" max="4603" width="10.140625" style="12" customWidth="1"/>
    <col min="4604" max="4606" width="9.7109375" style="12" customWidth="1"/>
    <col min="4607" max="4607" width="10.140625" style="12" customWidth="1"/>
    <col min="4608" max="4608" width="11.42578125" style="12" bestFit="1" customWidth="1"/>
    <col min="4609" max="4609" width="11" style="12" customWidth="1"/>
    <col min="4610" max="4610" width="9.7109375" style="12" customWidth="1"/>
    <col min="4611" max="4611" width="11" style="12" customWidth="1"/>
    <col min="4612" max="4612" width="11.42578125" style="12" customWidth="1"/>
    <col min="4613" max="4614" width="9.7109375" style="12" customWidth="1"/>
    <col min="4615" max="4615" width="11.28515625" style="12" customWidth="1"/>
    <col min="4616" max="4616" width="12.140625" style="12" customWidth="1"/>
    <col min="4617" max="4617" width="9.7109375" style="12" customWidth="1"/>
    <col min="4618" max="4618" width="11" style="12" customWidth="1"/>
    <col min="4619" max="4619" width="8.140625" style="12" customWidth="1"/>
    <col min="4620" max="4620" width="11" style="12" customWidth="1"/>
    <col min="4621" max="4621" width="9.85546875" style="12" customWidth="1"/>
    <col min="4622" max="4622" width="8.85546875" style="12" customWidth="1"/>
    <col min="4623" max="4854" width="11.42578125" style="12"/>
    <col min="4855" max="4855" width="34" style="12" customWidth="1"/>
    <col min="4856" max="4856" width="12.28515625" style="12" customWidth="1"/>
    <col min="4857" max="4857" width="9.42578125" style="12" customWidth="1"/>
    <col min="4858" max="4858" width="11.140625" style="12" customWidth="1"/>
    <col min="4859" max="4859" width="10.140625" style="12" customWidth="1"/>
    <col min="4860" max="4862" width="9.7109375" style="12" customWidth="1"/>
    <col min="4863" max="4863" width="10.140625" style="12" customWidth="1"/>
    <col min="4864" max="4864" width="11.42578125" style="12" bestFit="1" customWidth="1"/>
    <col min="4865" max="4865" width="11" style="12" customWidth="1"/>
    <col min="4866" max="4866" width="9.7109375" style="12" customWidth="1"/>
    <col min="4867" max="4867" width="11" style="12" customWidth="1"/>
    <col min="4868" max="4868" width="11.42578125" style="12" customWidth="1"/>
    <col min="4869" max="4870" width="9.7109375" style="12" customWidth="1"/>
    <col min="4871" max="4871" width="11.28515625" style="12" customWidth="1"/>
    <col min="4872" max="4872" width="12.140625" style="12" customWidth="1"/>
    <col min="4873" max="4873" width="9.7109375" style="12" customWidth="1"/>
    <col min="4874" max="4874" width="11" style="12" customWidth="1"/>
    <col min="4875" max="4875" width="8.140625" style="12" customWidth="1"/>
    <col min="4876" max="4876" width="11" style="12" customWidth="1"/>
    <col min="4877" max="4877" width="9.85546875" style="12" customWidth="1"/>
    <col min="4878" max="4878" width="8.85546875" style="12" customWidth="1"/>
    <col min="4879" max="5110" width="11.42578125" style="12"/>
    <col min="5111" max="5111" width="34" style="12" customWidth="1"/>
    <col min="5112" max="5112" width="12.28515625" style="12" customWidth="1"/>
    <col min="5113" max="5113" width="9.42578125" style="12" customWidth="1"/>
    <col min="5114" max="5114" width="11.140625" style="12" customWidth="1"/>
    <col min="5115" max="5115" width="10.140625" style="12" customWidth="1"/>
    <col min="5116" max="5118" width="9.7109375" style="12" customWidth="1"/>
    <col min="5119" max="5119" width="10.140625" style="12" customWidth="1"/>
    <col min="5120" max="5120" width="11.42578125" style="12" bestFit="1" customWidth="1"/>
    <col min="5121" max="5121" width="11" style="12" customWidth="1"/>
    <col min="5122" max="5122" width="9.7109375" style="12" customWidth="1"/>
    <col min="5123" max="5123" width="11" style="12" customWidth="1"/>
    <col min="5124" max="5124" width="11.42578125" style="12" customWidth="1"/>
    <col min="5125" max="5126" width="9.7109375" style="12" customWidth="1"/>
    <col min="5127" max="5127" width="11.28515625" style="12" customWidth="1"/>
    <col min="5128" max="5128" width="12.140625" style="12" customWidth="1"/>
    <col min="5129" max="5129" width="9.7109375" style="12" customWidth="1"/>
    <col min="5130" max="5130" width="11" style="12" customWidth="1"/>
    <col min="5131" max="5131" width="8.140625" style="12" customWidth="1"/>
    <col min="5132" max="5132" width="11" style="12" customWidth="1"/>
    <col min="5133" max="5133" width="9.85546875" style="12" customWidth="1"/>
    <col min="5134" max="5134" width="8.85546875" style="12" customWidth="1"/>
    <col min="5135" max="5366" width="11.42578125" style="12"/>
    <col min="5367" max="5367" width="34" style="12" customWidth="1"/>
    <col min="5368" max="5368" width="12.28515625" style="12" customWidth="1"/>
    <col min="5369" max="5369" width="9.42578125" style="12" customWidth="1"/>
    <col min="5370" max="5370" width="11.140625" style="12" customWidth="1"/>
    <col min="5371" max="5371" width="10.140625" style="12" customWidth="1"/>
    <col min="5372" max="5374" width="9.7109375" style="12" customWidth="1"/>
    <col min="5375" max="5375" width="10.140625" style="12" customWidth="1"/>
    <col min="5376" max="5376" width="11.42578125" style="12" bestFit="1" customWidth="1"/>
    <col min="5377" max="5377" width="11" style="12" customWidth="1"/>
    <col min="5378" max="5378" width="9.7109375" style="12" customWidth="1"/>
    <col min="5379" max="5379" width="11" style="12" customWidth="1"/>
    <col min="5380" max="5380" width="11.42578125" style="12" customWidth="1"/>
    <col min="5381" max="5382" width="9.7109375" style="12" customWidth="1"/>
    <col min="5383" max="5383" width="11.28515625" style="12" customWidth="1"/>
    <col min="5384" max="5384" width="12.140625" style="12" customWidth="1"/>
    <col min="5385" max="5385" width="9.7109375" style="12" customWidth="1"/>
    <col min="5386" max="5386" width="11" style="12" customWidth="1"/>
    <col min="5387" max="5387" width="8.140625" style="12" customWidth="1"/>
    <col min="5388" max="5388" width="11" style="12" customWidth="1"/>
    <col min="5389" max="5389" width="9.85546875" style="12" customWidth="1"/>
    <col min="5390" max="5390" width="8.85546875" style="12" customWidth="1"/>
    <col min="5391" max="5622" width="11.42578125" style="12"/>
    <col min="5623" max="5623" width="34" style="12" customWidth="1"/>
    <col min="5624" max="5624" width="12.28515625" style="12" customWidth="1"/>
    <col min="5625" max="5625" width="9.42578125" style="12" customWidth="1"/>
    <col min="5626" max="5626" width="11.140625" style="12" customWidth="1"/>
    <col min="5627" max="5627" width="10.140625" style="12" customWidth="1"/>
    <col min="5628" max="5630" width="9.7109375" style="12" customWidth="1"/>
    <col min="5631" max="5631" width="10.140625" style="12" customWidth="1"/>
    <col min="5632" max="5632" width="11.42578125" style="12" bestFit="1" customWidth="1"/>
    <col min="5633" max="5633" width="11" style="12" customWidth="1"/>
    <col min="5634" max="5634" width="9.7109375" style="12" customWidth="1"/>
    <col min="5635" max="5635" width="11" style="12" customWidth="1"/>
    <col min="5636" max="5636" width="11.42578125" style="12" customWidth="1"/>
    <col min="5637" max="5638" width="9.7109375" style="12" customWidth="1"/>
    <col min="5639" max="5639" width="11.28515625" style="12" customWidth="1"/>
    <col min="5640" max="5640" width="12.140625" style="12" customWidth="1"/>
    <col min="5641" max="5641" width="9.7109375" style="12" customWidth="1"/>
    <col min="5642" max="5642" width="11" style="12" customWidth="1"/>
    <col min="5643" max="5643" width="8.140625" style="12" customWidth="1"/>
    <col min="5644" max="5644" width="11" style="12" customWidth="1"/>
    <col min="5645" max="5645" width="9.85546875" style="12" customWidth="1"/>
    <col min="5646" max="5646" width="8.85546875" style="12" customWidth="1"/>
    <col min="5647" max="5878" width="11.42578125" style="12"/>
    <col min="5879" max="5879" width="34" style="12" customWidth="1"/>
    <col min="5880" max="5880" width="12.28515625" style="12" customWidth="1"/>
    <col min="5881" max="5881" width="9.42578125" style="12" customWidth="1"/>
    <col min="5882" max="5882" width="11.140625" style="12" customWidth="1"/>
    <col min="5883" max="5883" width="10.140625" style="12" customWidth="1"/>
    <col min="5884" max="5886" width="9.7109375" style="12" customWidth="1"/>
    <col min="5887" max="5887" width="10.140625" style="12" customWidth="1"/>
    <col min="5888" max="5888" width="11.42578125" style="12" bestFit="1" customWidth="1"/>
    <col min="5889" max="5889" width="11" style="12" customWidth="1"/>
    <col min="5890" max="5890" width="9.7109375" style="12" customWidth="1"/>
    <col min="5891" max="5891" width="11" style="12" customWidth="1"/>
    <col min="5892" max="5892" width="11.42578125" style="12" customWidth="1"/>
    <col min="5893" max="5894" width="9.7109375" style="12" customWidth="1"/>
    <col min="5895" max="5895" width="11.28515625" style="12" customWidth="1"/>
    <col min="5896" max="5896" width="12.140625" style="12" customWidth="1"/>
    <col min="5897" max="5897" width="9.7109375" style="12" customWidth="1"/>
    <col min="5898" max="5898" width="11" style="12" customWidth="1"/>
    <col min="5899" max="5899" width="8.140625" style="12" customWidth="1"/>
    <col min="5900" max="5900" width="11" style="12" customWidth="1"/>
    <col min="5901" max="5901" width="9.85546875" style="12" customWidth="1"/>
    <col min="5902" max="5902" width="8.85546875" style="12" customWidth="1"/>
    <col min="5903" max="6134" width="11.42578125" style="12"/>
    <col min="6135" max="6135" width="34" style="12" customWidth="1"/>
    <col min="6136" max="6136" width="12.28515625" style="12" customWidth="1"/>
    <col min="6137" max="6137" width="9.42578125" style="12" customWidth="1"/>
    <col min="6138" max="6138" width="11.140625" style="12" customWidth="1"/>
    <col min="6139" max="6139" width="10.140625" style="12" customWidth="1"/>
    <col min="6140" max="6142" width="9.7109375" style="12" customWidth="1"/>
    <col min="6143" max="6143" width="10.140625" style="12" customWidth="1"/>
    <col min="6144" max="6144" width="11.42578125" style="12" bestFit="1" customWidth="1"/>
    <col min="6145" max="6145" width="11" style="12" customWidth="1"/>
    <col min="6146" max="6146" width="9.7109375" style="12" customWidth="1"/>
    <col min="6147" max="6147" width="11" style="12" customWidth="1"/>
    <col min="6148" max="6148" width="11.42578125" style="12" customWidth="1"/>
    <col min="6149" max="6150" width="9.7109375" style="12" customWidth="1"/>
    <col min="6151" max="6151" width="11.28515625" style="12" customWidth="1"/>
    <col min="6152" max="6152" width="12.140625" style="12" customWidth="1"/>
    <col min="6153" max="6153" width="9.7109375" style="12" customWidth="1"/>
    <col min="6154" max="6154" width="11" style="12" customWidth="1"/>
    <col min="6155" max="6155" width="8.140625" style="12" customWidth="1"/>
    <col min="6156" max="6156" width="11" style="12" customWidth="1"/>
    <col min="6157" max="6157" width="9.85546875" style="12" customWidth="1"/>
    <col min="6158" max="6158" width="8.85546875" style="12" customWidth="1"/>
    <col min="6159" max="6390" width="11.42578125" style="12"/>
    <col min="6391" max="6391" width="34" style="12" customWidth="1"/>
    <col min="6392" max="6392" width="12.28515625" style="12" customWidth="1"/>
    <col min="6393" max="6393" width="9.42578125" style="12" customWidth="1"/>
    <col min="6394" max="6394" width="11.140625" style="12" customWidth="1"/>
    <col min="6395" max="6395" width="10.140625" style="12" customWidth="1"/>
    <col min="6396" max="6398" width="9.7109375" style="12" customWidth="1"/>
    <col min="6399" max="6399" width="10.140625" style="12" customWidth="1"/>
    <col min="6400" max="6400" width="11.42578125" style="12" bestFit="1" customWidth="1"/>
    <col min="6401" max="6401" width="11" style="12" customWidth="1"/>
    <col min="6402" max="6402" width="9.7109375" style="12" customWidth="1"/>
    <col min="6403" max="6403" width="11" style="12" customWidth="1"/>
    <col min="6404" max="6404" width="11.42578125" style="12" customWidth="1"/>
    <col min="6405" max="6406" width="9.7109375" style="12" customWidth="1"/>
    <col min="6407" max="6407" width="11.28515625" style="12" customWidth="1"/>
    <col min="6408" max="6408" width="12.140625" style="12" customWidth="1"/>
    <col min="6409" max="6409" width="9.7109375" style="12" customWidth="1"/>
    <col min="6410" max="6410" width="11" style="12" customWidth="1"/>
    <col min="6411" max="6411" width="8.140625" style="12" customWidth="1"/>
    <col min="6412" max="6412" width="11" style="12" customWidth="1"/>
    <col min="6413" max="6413" width="9.85546875" style="12" customWidth="1"/>
    <col min="6414" max="6414" width="8.85546875" style="12" customWidth="1"/>
    <col min="6415" max="6646" width="11.42578125" style="12"/>
    <col min="6647" max="6647" width="34" style="12" customWidth="1"/>
    <col min="6648" max="6648" width="12.28515625" style="12" customWidth="1"/>
    <col min="6649" max="6649" width="9.42578125" style="12" customWidth="1"/>
    <col min="6650" max="6650" width="11.140625" style="12" customWidth="1"/>
    <col min="6651" max="6651" width="10.140625" style="12" customWidth="1"/>
    <col min="6652" max="6654" width="9.7109375" style="12" customWidth="1"/>
    <col min="6655" max="6655" width="10.140625" style="12" customWidth="1"/>
    <col min="6656" max="6656" width="11.42578125" style="12" bestFit="1" customWidth="1"/>
    <col min="6657" max="6657" width="11" style="12" customWidth="1"/>
    <col min="6658" max="6658" width="9.7109375" style="12" customWidth="1"/>
    <col min="6659" max="6659" width="11" style="12" customWidth="1"/>
    <col min="6660" max="6660" width="11.42578125" style="12" customWidth="1"/>
    <col min="6661" max="6662" width="9.7109375" style="12" customWidth="1"/>
    <col min="6663" max="6663" width="11.28515625" style="12" customWidth="1"/>
    <col min="6664" max="6664" width="12.140625" style="12" customWidth="1"/>
    <col min="6665" max="6665" width="9.7109375" style="12" customWidth="1"/>
    <col min="6666" max="6666" width="11" style="12" customWidth="1"/>
    <col min="6667" max="6667" width="8.140625" style="12" customWidth="1"/>
    <col min="6668" max="6668" width="11" style="12" customWidth="1"/>
    <col min="6669" max="6669" width="9.85546875" style="12" customWidth="1"/>
    <col min="6670" max="6670" width="8.85546875" style="12" customWidth="1"/>
    <col min="6671" max="6902" width="11.42578125" style="12"/>
    <col min="6903" max="6903" width="34" style="12" customWidth="1"/>
    <col min="6904" max="6904" width="12.28515625" style="12" customWidth="1"/>
    <col min="6905" max="6905" width="9.42578125" style="12" customWidth="1"/>
    <col min="6906" max="6906" width="11.140625" style="12" customWidth="1"/>
    <col min="6907" max="6907" width="10.140625" style="12" customWidth="1"/>
    <col min="6908" max="6910" width="9.7109375" style="12" customWidth="1"/>
    <col min="6911" max="6911" width="10.140625" style="12" customWidth="1"/>
    <col min="6912" max="6912" width="11.42578125" style="12" bestFit="1" customWidth="1"/>
    <col min="6913" max="6913" width="11" style="12" customWidth="1"/>
    <col min="6914" max="6914" width="9.7109375" style="12" customWidth="1"/>
    <col min="6915" max="6915" width="11" style="12" customWidth="1"/>
    <col min="6916" max="6916" width="11.42578125" style="12" customWidth="1"/>
    <col min="6917" max="6918" width="9.7109375" style="12" customWidth="1"/>
    <col min="6919" max="6919" width="11.28515625" style="12" customWidth="1"/>
    <col min="6920" max="6920" width="12.140625" style="12" customWidth="1"/>
    <col min="6921" max="6921" width="9.7109375" style="12" customWidth="1"/>
    <col min="6922" max="6922" width="11" style="12" customWidth="1"/>
    <col min="6923" max="6923" width="8.140625" style="12" customWidth="1"/>
    <col min="6924" max="6924" width="11" style="12" customWidth="1"/>
    <col min="6925" max="6925" width="9.85546875" style="12" customWidth="1"/>
    <col min="6926" max="6926" width="8.85546875" style="12" customWidth="1"/>
    <col min="6927" max="7158" width="11.42578125" style="12"/>
    <col min="7159" max="7159" width="34" style="12" customWidth="1"/>
    <col min="7160" max="7160" width="12.28515625" style="12" customWidth="1"/>
    <col min="7161" max="7161" width="9.42578125" style="12" customWidth="1"/>
    <col min="7162" max="7162" width="11.140625" style="12" customWidth="1"/>
    <col min="7163" max="7163" width="10.140625" style="12" customWidth="1"/>
    <col min="7164" max="7166" width="9.7109375" style="12" customWidth="1"/>
    <col min="7167" max="7167" width="10.140625" style="12" customWidth="1"/>
    <col min="7168" max="7168" width="11.42578125" style="12" bestFit="1" customWidth="1"/>
    <col min="7169" max="7169" width="11" style="12" customWidth="1"/>
    <col min="7170" max="7170" width="9.7109375" style="12" customWidth="1"/>
    <col min="7171" max="7171" width="11" style="12" customWidth="1"/>
    <col min="7172" max="7172" width="11.42578125" style="12" customWidth="1"/>
    <col min="7173" max="7174" width="9.7109375" style="12" customWidth="1"/>
    <col min="7175" max="7175" width="11.28515625" style="12" customWidth="1"/>
    <col min="7176" max="7176" width="12.140625" style="12" customWidth="1"/>
    <col min="7177" max="7177" width="9.7109375" style="12" customWidth="1"/>
    <col min="7178" max="7178" width="11" style="12" customWidth="1"/>
    <col min="7179" max="7179" width="8.140625" style="12" customWidth="1"/>
    <col min="7180" max="7180" width="11" style="12" customWidth="1"/>
    <col min="7181" max="7181" width="9.85546875" style="12" customWidth="1"/>
    <col min="7182" max="7182" width="8.85546875" style="12" customWidth="1"/>
    <col min="7183" max="7414" width="11.42578125" style="12"/>
    <col min="7415" max="7415" width="34" style="12" customWidth="1"/>
    <col min="7416" max="7416" width="12.28515625" style="12" customWidth="1"/>
    <col min="7417" max="7417" width="9.42578125" style="12" customWidth="1"/>
    <col min="7418" max="7418" width="11.140625" style="12" customWidth="1"/>
    <col min="7419" max="7419" width="10.140625" style="12" customWidth="1"/>
    <col min="7420" max="7422" width="9.7109375" style="12" customWidth="1"/>
    <col min="7423" max="7423" width="10.140625" style="12" customWidth="1"/>
    <col min="7424" max="7424" width="11.42578125" style="12" bestFit="1" customWidth="1"/>
    <col min="7425" max="7425" width="11" style="12" customWidth="1"/>
    <col min="7426" max="7426" width="9.7109375" style="12" customWidth="1"/>
    <col min="7427" max="7427" width="11" style="12" customWidth="1"/>
    <col min="7428" max="7428" width="11.42578125" style="12" customWidth="1"/>
    <col min="7429" max="7430" width="9.7109375" style="12" customWidth="1"/>
    <col min="7431" max="7431" width="11.28515625" style="12" customWidth="1"/>
    <col min="7432" max="7432" width="12.140625" style="12" customWidth="1"/>
    <col min="7433" max="7433" width="9.7109375" style="12" customWidth="1"/>
    <col min="7434" max="7434" width="11" style="12" customWidth="1"/>
    <col min="7435" max="7435" width="8.140625" style="12" customWidth="1"/>
    <col min="7436" max="7436" width="11" style="12" customWidth="1"/>
    <col min="7437" max="7437" width="9.85546875" style="12" customWidth="1"/>
    <col min="7438" max="7438" width="8.85546875" style="12" customWidth="1"/>
    <col min="7439" max="7670" width="11.42578125" style="12"/>
    <col min="7671" max="7671" width="34" style="12" customWidth="1"/>
    <col min="7672" max="7672" width="12.28515625" style="12" customWidth="1"/>
    <col min="7673" max="7673" width="9.42578125" style="12" customWidth="1"/>
    <col min="7674" max="7674" width="11.140625" style="12" customWidth="1"/>
    <col min="7675" max="7675" width="10.140625" style="12" customWidth="1"/>
    <col min="7676" max="7678" width="9.7109375" style="12" customWidth="1"/>
    <col min="7679" max="7679" width="10.140625" style="12" customWidth="1"/>
    <col min="7680" max="7680" width="11.42578125" style="12" bestFit="1" customWidth="1"/>
    <col min="7681" max="7681" width="11" style="12" customWidth="1"/>
    <col min="7682" max="7682" width="9.7109375" style="12" customWidth="1"/>
    <col min="7683" max="7683" width="11" style="12" customWidth="1"/>
    <col min="7684" max="7684" width="11.42578125" style="12" customWidth="1"/>
    <col min="7685" max="7686" width="9.7109375" style="12" customWidth="1"/>
    <col min="7687" max="7687" width="11.28515625" style="12" customWidth="1"/>
    <col min="7688" max="7688" width="12.140625" style="12" customWidth="1"/>
    <col min="7689" max="7689" width="9.7109375" style="12" customWidth="1"/>
    <col min="7690" max="7690" width="11" style="12" customWidth="1"/>
    <col min="7691" max="7691" width="8.140625" style="12" customWidth="1"/>
    <col min="7692" max="7692" width="11" style="12" customWidth="1"/>
    <col min="7693" max="7693" width="9.85546875" style="12" customWidth="1"/>
    <col min="7694" max="7694" width="8.85546875" style="12" customWidth="1"/>
    <col min="7695" max="7926" width="11.42578125" style="12"/>
    <col min="7927" max="7927" width="34" style="12" customWidth="1"/>
    <col min="7928" max="7928" width="12.28515625" style="12" customWidth="1"/>
    <col min="7929" max="7929" width="9.42578125" style="12" customWidth="1"/>
    <col min="7930" max="7930" width="11.140625" style="12" customWidth="1"/>
    <col min="7931" max="7931" width="10.140625" style="12" customWidth="1"/>
    <col min="7932" max="7934" width="9.7109375" style="12" customWidth="1"/>
    <col min="7935" max="7935" width="10.140625" style="12" customWidth="1"/>
    <col min="7936" max="7936" width="11.42578125" style="12" bestFit="1" customWidth="1"/>
    <col min="7937" max="7937" width="11" style="12" customWidth="1"/>
    <col min="7938" max="7938" width="9.7109375" style="12" customWidth="1"/>
    <col min="7939" max="7939" width="11" style="12" customWidth="1"/>
    <col min="7940" max="7940" width="11.42578125" style="12" customWidth="1"/>
    <col min="7941" max="7942" width="9.7109375" style="12" customWidth="1"/>
    <col min="7943" max="7943" width="11.28515625" style="12" customWidth="1"/>
    <col min="7944" max="7944" width="12.140625" style="12" customWidth="1"/>
    <col min="7945" max="7945" width="9.7109375" style="12" customWidth="1"/>
    <col min="7946" max="7946" width="11" style="12" customWidth="1"/>
    <col min="7947" max="7947" width="8.140625" style="12" customWidth="1"/>
    <col min="7948" max="7948" width="11" style="12" customWidth="1"/>
    <col min="7949" max="7949" width="9.85546875" style="12" customWidth="1"/>
    <col min="7950" max="7950" width="8.85546875" style="12" customWidth="1"/>
    <col min="7951" max="8182" width="11.42578125" style="12"/>
    <col min="8183" max="8183" width="34" style="12" customWidth="1"/>
    <col min="8184" max="8184" width="12.28515625" style="12" customWidth="1"/>
    <col min="8185" max="8185" width="9.42578125" style="12" customWidth="1"/>
    <col min="8186" max="8186" width="11.140625" style="12" customWidth="1"/>
    <col min="8187" max="8187" width="10.140625" style="12" customWidth="1"/>
    <col min="8188" max="8190" width="9.7109375" style="12" customWidth="1"/>
    <col min="8191" max="8191" width="10.140625" style="12" customWidth="1"/>
    <col min="8192" max="8192" width="11.42578125" style="12" bestFit="1" customWidth="1"/>
    <col min="8193" max="8193" width="11" style="12" customWidth="1"/>
    <col min="8194" max="8194" width="9.7109375" style="12" customWidth="1"/>
    <col min="8195" max="8195" width="11" style="12" customWidth="1"/>
    <col min="8196" max="8196" width="11.42578125" style="12" customWidth="1"/>
    <col min="8197" max="8198" width="9.7109375" style="12" customWidth="1"/>
    <col min="8199" max="8199" width="11.28515625" style="12" customWidth="1"/>
    <col min="8200" max="8200" width="12.140625" style="12" customWidth="1"/>
    <col min="8201" max="8201" width="9.7109375" style="12" customWidth="1"/>
    <col min="8202" max="8202" width="11" style="12" customWidth="1"/>
    <col min="8203" max="8203" width="8.140625" style="12" customWidth="1"/>
    <col min="8204" max="8204" width="11" style="12" customWidth="1"/>
    <col min="8205" max="8205" width="9.85546875" style="12" customWidth="1"/>
    <col min="8206" max="8206" width="8.85546875" style="12" customWidth="1"/>
    <col min="8207" max="8438" width="11.42578125" style="12"/>
    <col min="8439" max="8439" width="34" style="12" customWidth="1"/>
    <col min="8440" max="8440" width="12.28515625" style="12" customWidth="1"/>
    <col min="8441" max="8441" width="9.42578125" style="12" customWidth="1"/>
    <col min="8442" max="8442" width="11.140625" style="12" customWidth="1"/>
    <col min="8443" max="8443" width="10.140625" style="12" customWidth="1"/>
    <col min="8444" max="8446" width="9.7109375" style="12" customWidth="1"/>
    <col min="8447" max="8447" width="10.140625" style="12" customWidth="1"/>
    <col min="8448" max="8448" width="11.42578125" style="12" bestFit="1" customWidth="1"/>
    <col min="8449" max="8449" width="11" style="12" customWidth="1"/>
    <col min="8450" max="8450" width="9.7109375" style="12" customWidth="1"/>
    <col min="8451" max="8451" width="11" style="12" customWidth="1"/>
    <col min="8452" max="8452" width="11.42578125" style="12" customWidth="1"/>
    <col min="8453" max="8454" width="9.7109375" style="12" customWidth="1"/>
    <col min="8455" max="8455" width="11.28515625" style="12" customWidth="1"/>
    <col min="8456" max="8456" width="12.140625" style="12" customWidth="1"/>
    <col min="8457" max="8457" width="9.7109375" style="12" customWidth="1"/>
    <col min="8458" max="8458" width="11" style="12" customWidth="1"/>
    <col min="8459" max="8459" width="8.140625" style="12" customWidth="1"/>
    <col min="8460" max="8460" width="11" style="12" customWidth="1"/>
    <col min="8461" max="8461" width="9.85546875" style="12" customWidth="1"/>
    <col min="8462" max="8462" width="8.85546875" style="12" customWidth="1"/>
    <col min="8463" max="8694" width="11.42578125" style="12"/>
    <col min="8695" max="8695" width="34" style="12" customWidth="1"/>
    <col min="8696" max="8696" width="12.28515625" style="12" customWidth="1"/>
    <col min="8697" max="8697" width="9.42578125" style="12" customWidth="1"/>
    <col min="8698" max="8698" width="11.140625" style="12" customWidth="1"/>
    <col min="8699" max="8699" width="10.140625" style="12" customWidth="1"/>
    <col min="8700" max="8702" width="9.7109375" style="12" customWidth="1"/>
    <col min="8703" max="8703" width="10.140625" style="12" customWidth="1"/>
    <col min="8704" max="8704" width="11.42578125" style="12" bestFit="1" customWidth="1"/>
    <col min="8705" max="8705" width="11" style="12" customWidth="1"/>
    <col min="8706" max="8706" width="9.7109375" style="12" customWidth="1"/>
    <col min="8707" max="8707" width="11" style="12" customWidth="1"/>
    <col min="8708" max="8708" width="11.42578125" style="12" customWidth="1"/>
    <col min="8709" max="8710" width="9.7109375" style="12" customWidth="1"/>
    <col min="8711" max="8711" width="11.28515625" style="12" customWidth="1"/>
    <col min="8712" max="8712" width="12.140625" style="12" customWidth="1"/>
    <col min="8713" max="8713" width="9.7109375" style="12" customWidth="1"/>
    <col min="8714" max="8714" width="11" style="12" customWidth="1"/>
    <col min="8715" max="8715" width="8.140625" style="12" customWidth="1"/>
    <col min="8716" max="8716" width="11" style="12" customWidth="1"/>
    <col min="8717" max="8717" width="9.85546875" style="12" customWidth="1"/>
    <col min="8718" max="8718" width="8.85546875" style="12" customWidth="1"/>
    <col min="8719" max="8950" width="11.42578125" style="12"/>
    <col min="8951" max="8951" width="34" style="12" customWidth="1"/>
    <col min="8952" max="8952" width="12.28515625" style="12" customWidth="1"/>
    <col min="8953" max="8953" width="9.42578125" style="12" customWidth="1"/>
    <col min="8954" max="8954" width="11.140625" style="12" customWidth="1"/>
    <col min="8955" max="8955" width="10.140625" style="12" customWidth="1"/>
    <col min="8956" max="8958" width="9.7109375" style="12" customWidth="1"/>
    <col min="8959" max="8959" width="10.140625" style="12" customWidth="1"/>
    <col min="8960" max="8960" width="11.42578125" style="12" bestFit="1" customWidth="1"/>
    <col min="8961" max="8961" width="11" style="12" customWidth="1"/>
    <col min="8962" max="8962" width="9.7109375" style="12" customWidth="1"/>
    <col min="8963" max="8963" width="11" style="12" customWidth="1"/>
    <col min="8964" max="8964" width="11.42578125" style="12" customWidth="1"/>
    <col min="8965" max="8966" width="9.7109375" style="12" customWidth="1"/>
    <col min="8967" max="8967" width="11.28515625" style="12" customWidth="1"/>
    <col min="8968" max="8968" width="12.140625" style="12" customWidth="1"/>
    <col min="8969" max="8969" width="9.7109375" style="12" customWidth="1"/>
    <col min="8970" max="8970" width="11" style="12" customWidth="1"/>
    <col min="8971" max="8971" width="8.140625" style="12" customWidth="1"/>
    <col min="8972" max="8972" width="11" style="12" customWidth="1"/>
    <col min="8973" max="8973" width="9.85546875" style="12" customWidth="1"/>
    <col min="8974" max="8974" width="8.85546875" style="12" customWidth="1"/>
    <col min="8975" max="9206" width="11.42578125" style="12"/>
    <col min="9207" max="9207" width="34" style="12" customWidth="1"/>
    <col min="9208" max="9208" width="12.28515625" style="12" customWidth="1"/>
    <col min="9209" max="9209" width="9.42578125" style="12" customWidth="1"/>
    <col min="9210" max="9210" width="11.140625" style="12" customWidth="1"/>
    <col min="9211" max="9211" width="10.140625" style="12" customWidth="1"/>
    <col min="9212" max="9214" width="9.7109375" style="12" customWidth="1"/>
    <col min="9215" max="9215" width="10.140625" style="12" customWidth="1"/>
    <col min="9216" max="9216" width="11.42578125" style="12" bestFit="1" customWidth="1"/>
    <col min="9217" max="9217" width="11" style="12" customWidth="1"/>
    <col min="9218" max="9218" width="9.7109375" style="12" customWidth="1"/>
    <col min="9219" max="9219" width="11" style="12" customWidth="1"/>
    <col min="9220" max="9220" width="11.42578125" style="12" customWidth="1"/>
    <col min="9221" max="9222" width="9.7109375" style="12" customWidth="1"/>
    <col min="9223" max="9223" width="11.28515625" style="12" customWidth="1"/>
    <col min="9224" max="9224" width="12.140625" style="12" customWidth="1"/>
    <col min="9225" max="9225" width="9.7109375" style="12" customWidth="1"/>
    <col min="9226" max="9226" width="11" style="12" customWidth="1"/>
    <col min="9227" max="9227" width="8.140625" style="12" customWidth="1"/>
    <col min="9228" max="9228" width="11" style="12" customWidth="1"/>
    <col min="9229" max="9229" width="9.85546875" style="12" customWidth="1"/>
    <col min="9230" max="9230" width="8.85546875" style="12" customWidth="1"/>
    <col min="9231" max="9462" width="11.42578125" style="12"/>
    <col min="9463" max="9463" width="34" style="12" customWidth="1"/>
    <col min="9464" max="9464" width="12.28515625" style="12" customWidth="1"/>
    <col min="9465" max="9465" width="9.42578125" style="12" customWidth="1"/>
    <col min="9466" max="9466" width="11.140625" style="12" customWidth="1"/>
    <col min="9467" max="9467" width="10.140625" style="12" customWidth="1"/>
    <col min="9468" max="9470" width="9.7109375" style="12" customWidth="1"/>
    <col min="9471" max="9471" width="10.140625" style="12" customWidth="1"/>
    <col min="9472" max="9472" width="11.42578125" style="12" bestFit="1" customWidth="1"/>
    <col min="9473" max="9473" width="11" style="12" customWidth="1"/>
    <col min="9474" max="9474" width="9.7109375" style="12" customWidth="1"/>
    <col min="9475" max="9475" width="11" style="12" customWidth="1"/>
    <col min="9476" max="9476" width="11.42578125" style="12" customWidth="1"/>
    <col min="9477" max="9478" width="9.7109375" style="12" customWidth="1"/>
    <col min="9479" max="9479" width="11.28515625" style="12" customWidth="1"/>
    <col min="9480" max="9480" width="12.140625" style="12" customWidth="1"/>
    <col min="9481" max="9481" width="9.7109375" style="12" customWidth="1"/>
    <col min="9482" max="9482" width="11" style="12" customWidth="1"/>
    <col min="9483" max="9483" width="8.140625" style="12" customWidth="1"/>
    <col min="9484" max="9484" width="11" style="12" customWidth="1"/>
    <col min="9485" max="9485" width="9.85546875" style="12" customWidth="1"/>
    <col min="9486" max="9486" width="8.85546875" style="12" customWidth="1"/>
    <col min="9487" max="9718" width="11.42578125" style="12"/>
    <col min="9719" max="9719" width="34" style="12" customWidth="1"/>
    <col min="9720" max="9720" width="12.28515625" style="12" customWidth="1"/>
    <col min="9721" max="9721" width="9.42578125" style="12" customWidth="1"/>
    <col min="9722" max="9722" width="11.140625" style="12" customWidth="1"/>
    <col min="9723" max="9723" width="10.140625" style="12" customWidth="1"/>
    <col min="9724" max="9726" width="9.7109375" style="12" customWidth="1"/>
    <col min="9727" max="9727" width="10.140625" style="12" customWidth="1"/>
    <col min="9728" max="9728" width="11.42578125" style="12" bestFit="1" customWidth="1"/>
    <col min="9729" max="9729" width="11" style="12" customWidth="1"/>
    <col min="9730" max="9730" width="9.7109375" style="12" customWidth="1"/>
    <col min="9731" max="9731" width="11" style="12" customWidth="1"/>
    <col min="9732" max="9732" width="11.42578125" style="12" customWidth="1"/>
    <col min="9733" max="9734" width="9.7109375" style="12" customWidth="1"/>
    <col min="9735" max="9735" width="11.28515625" style="12" customWidth="1"/>
    <col min="9736" max="9736" width="12.140625" style="12" customWidth="1"/>
    <col min="9737" max="9737" width="9.7109375" style="12" customWidth="1"/>
    <col min="9738" max="9738" width="11" style="12" customWidth="1"/>
    <col min="9739" max="9739" width="8.140625" style="12" customWidth="1"/>
    <col min="9740" max="9740" width="11" style="12" customWidth="1"/>
    <col min="9741" max="9741" width="9.85546875" style="12" customWidth="1"/>
    <col min="9742" max="9742" width="8.85546875" style="12" customWidth="1"/>
    <col min="9743" max="9974" width="11.42578125" style="12"/>
    <col min="9975" max="9975" width="34" style="12" customWidth="1"/>
    <col min="9976" max="9976" width="12.28515625" style="12" customWidth="1"/>
    <col min="9977" max="9977" width="9.42578125" style="12" customWidth="1"/>
    <col min="9978" max="9978" width="11.140625" style="12" customWidth="1"/>
    <col min="9979" max="9979" width="10.140625" style="12" customWidth="1"/>
    <col min="9980" max="9982" width="9.7109375" style="12" customWidth="1"/>
    <col min="9983" max="9983" width="10.140625" style="12" customWidth="1"/>
    <col min="9984" max="9984" width="11.42578125" style="12" bestFit="1" customWidth="1"/>
    <col min="9985" max="9985" width="11" style="12" customWidth="1"/>
    <col min="9986" max="9986" width="9.7109375" style="12" customWidth="1"/>
    <col min="9987" max="9987" width="11" style="12" customWidth="1"/>
    <col min="9988" max="9988" width="11.42578125" style="12" customWidth="1"/>
    <col min="9989" max="9990" width="9.7109375" style="12" customWidth="1"/>
    <col min="9991" max="9991" width="11.28515625" style="12" customWidth="1"/>
    <col min="9992" max="9992" width="12.140625" style="12" customWidth="1"/>
    <col min="9993" max="9993" width="9.7109375" style="12" customWidth="1"/>
    <col min="9994" max="9994" width="11" style="12" customWidth="1"/>
    <col min="9995" max="9995" width="8.140625" style="12" customWidth="1"/>
    <col min="9996" max="9996" width="11" style="12" customWidth="1"/>
    <col min="9997" max="9997" width="9.85546875" style="12" customWidth="1"/>
    <col min="9998" max="9998" width="8.85546875" style="12" customWidth="1"/>
    <col min="9999" max="10230" width="11.42578125" style="12"/>
    <col min="10231" max="10231" width="34" style="12" customWidth="1"/>
    <col min="10232" max="10232" width="12.28515625" style="12" customWidth="1"/>
    <col min="10233" max="10233" width="9.42578125" style="12" customWidth="1"/>
    <col min="10234" max="10234" width="11.140625" style="12" customWidth="1"/>
    <col min="10235" max="10235" width="10.140625" style="12" customWidth="1"/>
    <col min="10236" max="10238" width="9.7109375" style="12" customWidth="1"/>
    <col min="10239" max="10239" width="10.140625" style="12" customWidth="1"/>
    <col min="10240" max="10240" width="11.42578125" style="12" bestFit="1" customWidth="1"/>
    <col min="10241" max="10241" width="11" style="12" customWidth="1"/>
    <col min="10242" max="10242" width="9.7109375" style="12" customWidth="1"/>
    <col min="10243" max="10243" width="11" style="12" customWidth="1"/>
    <col min="10244" max="10244" width="11.42578125" style="12" customWidth="1"/>
    <col min="10245" max="10246" width="9.7109375" style="12" customWidth="1"/>
    <col min="10247" max="10247" width="11.28515625" style="12" customWidth="1"/>
    <col min="10248" max="10248" width="12.140625" style="12" customWidth="1"/>
    <col min="10249" max="10249" width="9.7109375" style="12" customWidth="1"/>
    <col min="10250" max="10250" width="11" style="12" customWidth="1"/>
    <col min="10251" max="10251" width="8.140625" style="12" customWidth="1"/>
    <col min="10252" max="10252" width="11" style="12" customWidth="1"/>
    <col min="10253" max="10253" width="9.85546875" style="12" customWidth="1"/>
    <col min="10254" max="10254" width="8.85546875" style="12" customWidth="1"/>
    <col min="10255" max="10486" width="11.42578125" style="12"/>
    <col min="10487" max="10487" width="34" style="12" customWidth="1"/>
    <col min="10488" max="10488" width="12.28515625" style="12" customWidth="1"/>
    <col min="10489" max="10489" width="9.42578125" style="12" customWidth="1"/>
    <col min="10490" max="10490" width="11.140625" style="12" customWidth="1"/>
    <col min="10491" max="10491" width="10.140625" style="12" customWidth="1"/>
    <col min="10492" max="10494" width="9.7109375" style="12" customWidth="1"/>
    <col min="10495" max="10495" width="10.140625" style="12" customWidth="1"/>
    <col min="10496" max="10496" width="11.42578125" style="12" bestFit="1" customWidth="1"/>
    <col min="10497" max="10497" width="11" style="12" customWidth="1"/>
    <col min="10498" max="10498" width="9.7109375" style="12" customWidth="1"/>
    <col min="10499" max="10499" width="11" style="12" customWidth="1"/>
    <col min="10500" max="10500" width="11.42578125" style="12" customWidth="1"/>
    <col min="10501" max="10502" width="9.7109375" style="12" customWidth="1"/>
    <col min="10503" max="10503" width="11.28515625" style="12" customWidth="1"/>
    <col min="10504" max="10504" width="12.140625" style="12" customWidth="1"/>
    <col min="10505" max="10505" width="9.7109375" style="12" customWidth="1"/>
    <col min="10506" max="10506" width="11" style="12" customWidth="1"/>
    <col min="10507" max="10507" width="8.140625" style="12" customWidth="1"/>
    <col min="10508" max="10508" width="11" style="12" customWidth="1"/>
    <col min="10509" max="10509" width="9.85546875" style="12" customWidth="1"/>
    <col min="10510" max="10510" width="8.85546875" style="12" customWidth="1"/>
    <col min="10511" max="10742" width="11.42578125" style="12"/>
    <col min="10743" max="10743" width="34" style="12" customWidth="1"/>
    <col min="10744" max="10744" width="12.28515625" style="12" customWidth="1"/>
    <col min="10745" max="10745" width="9.42578125" style="12" customWidth="1"/>
    <col min="10746" max="10746" width="11.140625" style="12" customWidth="1"/>
    <col min="10747" max="10747" width="10.140625" style="12" customWidth="1"/>
    <col min="10748" max="10750" width="9.7109375" style="12" customWidth="1"/>
    <col min="10751" max="10751" width="10.140625" style="12" customWidth="1"/>
    <col min="10752" max="10752" width="11.42578125" style="12" bestFit="1" customWidth="1"/>
    <col min="10753" max="10753" width="11" style="12" customWidth="1"/>
    <col min="10754" max="10754" width="9.7109375" style="12" customWidth="1"/>
    <col min="10755" max="10755" width="11" style="12" customWidth="1"/>
    <col min="10756" max="10756" width="11.42578125" style="12" customWidth="1"/>
    <col min="10757" max="10758" width="9.7109375" style="12" customWidth="1"/>
    <col min="10759" max="10759" width="11.28515625" style="12" customWidth="1"/>
    <col min="10760" max="10760" width="12.140625" style="12" customWidth="1"/>
    <col min="10761" max="10761" width="9.7109375" style="12" customWidth="1"/>
    <col min="10762" max="10762" width="11" style="12" customWidth="1"/>
    <col min="10763" max="10763" width="8.140625" style="12" customWidth="1"/>
    <col min="10764" max="10764" width="11" style="12" customWidth="1"/>
    <col min="10765" max="10765" width="9.85546875" style="12" customWidth="1"/>
    <col min="10766" max="10766" width="8.85546875" style="12" customWidth="1"/>
    <col min="10767" max="10998" width="11.42578125" style="12"/>
    <col min="10999" max="10999" width="34" style="12" customWidth="1"/>
    <col min="11000" max="11000" width="12.28515625" style="12" customWidth="1"/>
    <col min="11001" max="11001" width="9.42578125" style="12" customWidth="1"/>
    <col min="11002" max="11002" width="11.140625" style="12" customWidth="1"/>
    <col min="11003" max="11003" width="10.140625" style="12" customWidth="1"/>
    <col min="11004" max="11006" width="9.7109375" style="12" customWidth="1"/>
    <col min="11007" max="11007" width="10.140625" style="12" customWidth="1"/>
    <col min="11008" max="11008" width="11.42578125" style="12" bestFit="1" customWidth="1"/>
    <col min="11009" max="11009" width="11" style="12" customWidth="1"/>
    <col min="11010" max="11010" width="9.7109375" style="12" customWidth="1"/>
    <col min="11011" max="11011" width="11" style="12" customWidth="1"/>
    <col min="11012" max="11012" width="11.42578125" style="12" customWidth="1"/>
    <col min="11013" max="11014" width="9.7109375" style="12" customWidth="1"/>
    <col min="11015" max="11015" width="11.28515625" style="12" customWidth="1"/>
    <col min="11016" max="11016" width="12.140625" style="12" customWidth="1"/>
    <col min="11017" max="11017" width="9.7109375" style="12" customWidth="1"/>
    <col min="11018" max="11018" width="11" style="12" customWidth="1"/>
    <col min="11019" max="11019" width="8.140625" style="12" customWidth="1"/>
    <col min="11020" max="11020" width="11" style="12" customWidth="1"/>
    <col min="11021" max="11021" width="9.85546875" style="12" customWidth="1"/>
    <col min="11022" max="11022" width="8.85546875" style="12" customWidth="1"/>
    <col min="11023" max="11254" width="11.42578125" style="12"/>
    <col min="11255" max="11255" width="34" style="12" customWidth="1"/>
    <col min="11256" max="11256" width="12.28515625" style="12" customWidth="1"/>
    <col min="11257" max="11257" width="9.42578125" style="12" customWidth="1"/>
    <col min="11258" max="11258" width="11.140625" style="12" customWidth="1"/>
    <col min="11259" max="11259" width="10.140625" style="12" customWidth="1"/>
    <col min="11260" max="11262" width="9.7109375" style="12" customWidth="1"/>
    <col min="11263" max="11263" width="10.140625" style="12" customWidth="1"/>
    <col min="11264" max="11264" width="11.42578125" style="12" bestFit="1" customWidth="1"/>
    <col min="11265" max="11265" width="11" style="12" customWidth="1"/>
    <col min="11266" max="11266" width="9.7109375" style="12" customWidth="1"/>
    <col min="11267" max="11267" width="11" style="12" customWidth="1"/>
    <col min="11268" max="11268" width="11.42578125" style="12" customWidth="1"/>
    <col min="11269" max="11270" width="9.7109375" style="12" customWidth="1"/>
    <col min="11271" max="11271" width="11.28515625" style="12" customWidth="1"/>
    <col min="11272" max="11272" width="12.140625" style="12" customWidth="1"/>
    <col min="11273" max="11273" width="9.7109375" style="12" customWidth="1"/>
    <col min="11274" max="11274" width="11" style="12" customWidth="1"/>
    <col min="11275" max="11275" width="8.140625" style="12" customWidth="1"/>
    <col min="11276" max="11276" width="11" style="12" customWidth="1"/>
    <col min="11277" max="11277" width="9.85546875" style="12" customWidth="1"/>
    <col min="11278" max="11278" width="8.85546875" style="12" customWidth="1"/>
    <col min="11279" max="11510" width="11.42578125" style="12"/>
    <col min="11511" max="11511" width="34" style="12" customWidth="1"/>
    <col min="11512" max="11512" width="12.28515625" style="12" customWidth="1"/>
    <col min="11513" max="11513" width="9.42578125" style="12" customWidth="1"/>
    <col min="11514" max="11514" width="11.140625" style="12" customWidth="1"/>
    <col min="11515" max="11515" width="10.140625" style="12" customWidth="1"/>
    <col min="11516" max="11518" width="9.7109375" style="12" customWidth="1"/>
    <col min="11519" max="11519" width="10.140625" style="12" customWidth="1"/>
    <col min="11520" max="11520" width="11.42578125" style="12" bestFit="1" customWidth="1"/>
    <col min="11521" max="11521" width="11" style="12" customWidth="1"/>
    <col min="11522" max="11522" width="9.7109375" style="12" customWidth="1"/>
    <col min="11523" max="11523" width="11" style="12" customWidth="1"/>
    <col min="11524" max="11524" width="11.42578125" style="12" customWidth="1"/>
    <col min="11525" max="11526" width="9.7109375" style="12" customWidth="1"/>
    <col min="11527" max="11527" width="11.28515625" style="12" customWidth="1"/>
    <col min="11528" max="11528" width="12.140625" style="12" customWidth="1"/>
    <col min="11529" max="11529" width="9.7109375" style="12" customWidth="1"/>
    <col min="11530" max="11530" width="11" style="12" customWidth="1"/>
    <col min="11531" max="11531" width="8.140625" style="12" customWidth="1"/>
    <col min="11532" max="11532" width="11" style="12" customWidth="1"/>
    <col min="11533" max="11533" width="9.85546875" style="12" customWidth="1"/>
    <col min="11534" max="11534" width="8.85546875" style="12" customWidth="1"/>
    <col min="11535" max="11766" width="11.42578125" style="12"/>
    <col min="11767" max="11767" width="34" style="12" customWidth="1"/>
    <col min="11768" max="11768" width="12.28515625" style="12" customWidth="1"/>
    <col min="11769" max="11769" width="9.42578125" style="12" customWidth="1"/>
    <col min="11770" max="11770" width="11.140625" style="12" customWidth="1"/>
    <col min="11771" max="11771" width="10.140625" style="12" customWidth="1"/>
    <col min="11772" max="11774" width="9.7109375" style="12" customWidth="1"/>
    <col min="11775" max="11775" width="10.140625" style="12" customWidth="1"/>
    <col min="11776" max="11776" width="11.42578125" style="12" bestFit="1" customWidth="1"/>
    <col min="11777" max="11777" width="11" style="12" customWidth="1"/>
    <col min="11778" max="11778" width="9.7109375" style="12" customWidth="1"/>
    <col min="11779" max="11779" width="11" style="12" customWidth="1"/>
    <col min="11780" max="11780" width="11.42578125" style="12" customWidth="1"/>
    <col min="11781" max="11782" width="9.7109375" style="12" customWidth="1"/>
    <col min="11783" max="11783" width="11.28515625" style="12" customWidth="1"/>
    <col min="11784" max="11784" width="12.140625" style="12" customWidth="1"/>
    <col min="11785" max="11785" width="9.7109375" style="12" customWidth="1"/>
    <col min="11786" max="11786" width="11" style="12" customWidth="1"/>
    <col min="11787" max="11787" width="8.140625" style="12" customWidth="1"/>
    <col min="11788" max="11788" width="11" style="12" customWidth="1"/>
    <col min="11789" max="11789" width="9.85546875" style="12" customWidth="1"/>
    <col min="11790" max="11790" width="8.85546875" style="12" customWidth="1"/>
    <col min="11791" max="12022" width="11.42578125" style="12"/>
    <col min="12023" max="12023" width="34" style="12" customWidth="1"/>
    <col min="12024" max="12024" width="12.28515625" style="12" customWidth="1"/>
    <col min="12025" max="12025" width="9.42578125" style="12" customWidth="1"/>
    <col min="12026" max="12026" width="11.140625" style="12" customWidth="1"/>
    <col min="12027" max="12027" width="10.140625" style="12" customWidth="1"/>
    <col min="12028" max="12030" width="9.7109375" style="12" customWidth="1"/>
    <col min="12031" max="12031" width="10.140625" style="12" customWidth="1"/>
    <col min="12032" max="12032" width="11.42578125" style="12" bestFit="1" customWidth="1"/>
    <col min="12033" max="12033" width="11" style="12" customWidth="1"/>
    <col min="12034" max="12034" width="9.7109375" style="12" customWidth="1"/>
    <col min="12035" max="12035" width="11" style="12" customWidth="1"/>
    <col min="12036" max="12036" width="11.42578125" style="12" customWidth="1"/>
    <col min="12037" max="12038" width="9.7109375" style="12" customWidth="1"/>
    <col min="12039" max="12039" width="11.28515625" style="12" customWidth="1"/>
    <col min="12040" max="12040" width="12.140625" style="12" customWidth="1"/>
    <col min="12041" max="12041" width="9.7109375" style="12" customWidth="1"/>
    <col min="12042" max="12042" width="11" style="12" customWidth="1"/>
    <col min="12043" max="12043" width="8.140625" style="12" customWidth="1"/>
    <col min="12044" max="12044" width="11" style="12" customWidth="1"/>
    <col min="12045" max="12045" width="9.85546875" style="12" customWidth="1"/>
    <col min="12046" max="12046" width="8.85546875" style="12" customWidth="1"/>
    <col min="12047" max="12278" width="11.42578125" style="12"/>
    <col min="12279" max="12279" width="34" style="12" customWidth="1"/>
    <col min="12280" max="12280" width="12.28515625" style="12" customWidth="1"/>
    <col min="12281" max="12281" width="9.42578125" style="12" customWidth="1"/>
    <col min="12282" max="12282" width="11.140625" style="12" customWidth="1"/>
    <col min="12283" max="12283" width="10.140625" style="12" customWidth="1"/>
    <col min="12284" max="12286" width="9.7109375" style="12" customWidth="1"/>
    <col min="12287" max="12287" width="10.140625" style="12" customWidth="1"/>
    <col min="12288" max="12288" width="11.42578125" style="12" bestFit="1" customWidth="1"/>
    <col min="12289" max="12289" width="11" style="12" customWidth="1"/>
    <col min="12290" max="12290" width="9.7109375" style="12" customWidth="1"/>
    <col min="12291" max="12291" width="11" style="12" customWidth="1"/>
    <col min="12292" max="12292" width="11.42578125" style="12" customWidth="1"/>
    <col min="12293" max="12294" width="9.7109375" style="12" customWidth="1"/>
    <col min="12295" max="12295" width="11.28515625" style="12" customWidth="1"/>
    <col min="12296" max="12296" width="12.140625" style="12" customWidth="1"/>
    <col min="12297" max="12297" width="9.7109375" style="12" customWidth="1"/>
    <col min="12298" max="12298" width="11" style="12" customWidth="1"/>
    <col min="12299" max="12299" width="8.140625" style="12" customWidth="1"/>
    <col min="12300" max="12300" width="11" style="12" customWidth="1"/>
    <col min="12301" max="12301" width="9.85546875" style="12" customWidth="1"/>
    <col min="12302" max="12302" width="8.85546875" style="12" customWidth="1"/>
    <col min="12303" max="12534" width="11.42578125" style="12"/>
    <col min="12535" max="12535" width="34" style="12" customWidth="1"/>
    <col min="12536" max="12536" width="12.28515625" style="12" customWidth="1"/>
    <col min="12537" max="12537" width="9.42578125" style="12" customWidth="1"/>
    <col min="12538" max="12538" width="11.140625" style="12" customWidth="1"/>
    <col min="12539" max="12539" width="10.140625" style="12" customWidth="1"/>
    <col min="12540" max="12542" width="9.7109375" style="12" customWidth="1"/>
    <col min="12543" max="12543" width="10.140625" style="12" customWidth="1"/>
    <col min="12544" max="12544" width="11.42578125" style="12" bestFit="1" customWidth="1"/>
    <col min="12545" max="12545" width="11" style="12" customWidth="1"/>
    <col min="12546" max="12546" width="9.7109375" style="12" customWidth="1"/>
    <col min="12547" max="12547" width="11" style="12" customWidth="1"/>
    <col min="12548" max="12548" width="11.42578125" style="12" customWidth="1"/>
    <col min="12549" max="12550" width="9.7109375" style="12" customWidth="1"/>
    <col min="12551" max="12551" width="11.28515625" style="12" customWidth="1"/>
    <col min="12552" max="12552" width="12.140625" style="12" customWidth="1"/>
    <col min="12553" max="12553" width="9.7109375" style="12" customWidth="1"/>
    <col min="12554" max="12554" width="11" style="12" customWidth="1"/>
    <col min="12555" max="12555" width="8.140625" style="12" customWidth="1"/>
    <col min="12556" max="12556" width="11" style="12" customWidth="1"/>
    <col min="12557" max="12557" width="9.85546875" style="12" customWidth="1"/>
    <col min="12558" max="12558" width="8.85546875" style="12" customWidth="1"/>
    <col min="12559" max="12790" width="11.42578125" style="12"/>
    <col min="12791" max="12791" width="34" style="12" customWidth="1"/>
    <col min="12792" max="12792" width="12.28515625" style="12" customWidth="1"/>
    <col min="12793" max="12793" width="9.42578125" style="12" customWidth="1"/>
    <col min="12794" max="12794" width="11.140625" style="12" customWidth="1"/>
    <col min="12795" max="12795" width="10.140625" style="12" customWidth="1"/>
    <col min="12796" max="12798" width="9.7109375" style="12" customWidth="1"/>
    <col min="12799" max="12799" width="10.140625" style="12" customWidth="1"/>
    <col min="12800" max="12800" width="11.42578125" style="12" bestFit="1" customWidth="1"/>
    <col min="12801" max="12801" width="11" style="12" customWidth="1"/>
    <col min="12802" max="12802" width="9.7109375" style="12" customWidth="1"/>
    <col min="12803" max="12803" width="11" style="12" customWidth="1"/>
    <col min="12804" max="12804" width="11.42578125" style="12" customWidth="1"/>
    <col min="12805" max="12806" width="9.7109375" style="12" customWidth="1"/>
    <col min="12807" max="12807" width="11.28515625" style="12" customWidth="1"/>
    <col min="12808" max="12808" width="12.140625" style="12" customWidth="1"/>
    <col min="12809" max="12809" width="9.7109375" style="12" customWidth="1"/>
    <col min="12810" max="12810" width="11" style="12" customWidth="1"/>
    <col min="12811" max="12811" width="8.140625" style="12" customWidth="1"/>
    <col min="12812" max="12812" width="11" style="12" customWidth="1"/>
    <col min="12813" max="12813" width="9.85546875" style="12" customWidth="1"/>
    <col min="12814" max="12814" width="8.85546875" style="12" customWidth="1"/>
    <col min="12815" max="13046" width="11.42578125" style="12"/>
    <col min="13047" max="13047" width="34" style="12" customWidth="1"/>
    <col min="13048" max="13048" width="12.28515625" style="12" customWidth="1"/>
    <col min="13049" max="13049" width="9.42578125" style="12" customWidth="1"/>
    <col min="13050" max="13050" width="11.140625" style="12" customWidth="1"/>
    <col min="13051" max="13051" width="10.140625" style="12" customWidth="1"/>
    <col min="13052" max="13054" width="9.7109375" style="12" customWidth="1"/>
    <col min="13055" max="13055" width="10.140625" style="12" customWidth="1"/>
    <col min="13056" max="13056" width="11.42578125" style="12" bestFit="1" customWidth="1"/>
    <col min="13057" max="13057" width="11" style="12" customWidth="1"/>
    <col min="13058" max="13058" width="9.7109375" style="12" customWidth="1"/>
    <col min="13059" max="13059" width="11" style="12" customWidth="1"/>
    <col min="13060" max="13060" width="11.42578125" style="12" customWidth="1"/>
    <col min="13061" max="13062" width="9.7109375" style="12" customWidth="1"/>
    <col min="13063" max="13063" width="11.28515625" style="12" customWidth="1"/>
    <col min="13064" max="13064" width="12.140625" style="12" customWidth="1"/>
    <col min="13065" max="13065" width="9.7109375" style="12" customWidth="1"/>
    <col min="13066" max="13066" width="11" style="12" customWidth="1"/>
    <col min="13067" max="13067" width="8.140625" style="12" customWidth="1"/>
    <col min="13068" max="13068" width="11" style="12" customWidth="1"/>
    <col min="13069" max="13069" width="9.85546875" style="12" customWidth="1"/>
    <col min="13070" max="13070" width="8.85546875" style="12" customWidth="1"/>
    <col min="13071" max="13302" width="11.42578125" style="12"/>
    <col min="13303" max="13303" width="34" style="12" customWidth="1"/>
    <col min="13304" max="13304" width="12.28515625" style="12" customWidth="1"/>
    <col min="13305" max="13305" width="9.42578125" style="12" customWidth="1"/>
    <col min="13306" max="13306" width="11.140625" style="12" customWidth="1"/>
    <col min="13307" max="13307" width="10.140625" style="12" customWidth="1"/>
    <col min="13308" max="13310" width="9.7109375" style="12" customWidth="1"/>
    <col min="13311" max="13311" width="10.140625" style="12" customWidth="1"/>
    <col min="13312" max="13312" width="11.42578125" style="12" bestFit="1" customWidth="1"/>
    <col min="13313" max="13313" width="11" style="12" customWidth="1"/>
    <col min="13314" max="13314" width="9.7109375" style="12" customWidth="1"/>
    <col min="13315" max="13315" width="11" style="12" customWidth="1"/>
    <col min="13316" max="13316" width="11.42578125" style="12" customWidth="1"/>
    <col min="13317" max="13318" width="9.7109375" style="12" customWidth="1"/>
    <col min="13319" max="13319" width="11.28515625" style="12" customWidth="1"/>
    <col min="13320" max="13320" width="12.140625" style="12" customWidth="1"/>
    <col min="13321" max="13321" width="9.7109375" style="12" customWidth="1"/>
    <col min="13322" max="13322" width="11" style="12" customWidth="1"/>
    <col min="13323" max="13323" width="8.140625" style="12" customWidth="1"/>
    <col min="13324" max="13324" width="11" style="12" customWidth="1"/>
    <col min="13325" max="13325" width="9.85546875" style="12" customWidth="1"/>
    <col min="13326" max="13326" width="8.85546875" style="12" customWidth="1"/>
    <col min="13327" max="13558" width="11.42578125" style="12"/>
    <col min="13559" max="13559" width="34" style="12" customWidth="1"/>
    <col min="13560" max="13560" width="12.28515625" style="12" customWidth="1"/>
    <col min="13561" max="13561" width="9.42578125" style="12" customWidth="1"/>
    <col min="13562" max="13562" width="11.140625" style="12" customWidth="1"/>
    <col min="13563" max="13563" width="10.140625" style="12" customWidth="1"/>
    <col min="13564" max="13566" width="9.7109375" style="12" customWidth="1"/>
    <col min="13567" max="13567" width="10.140625" style="12" customWidth="1"/>
    <col min="13568" max="13568" width="11.42578125" style="12" bestFit="1" customWidth="1"/>
    <col min="13569" max="13569" width="11" style="12" customWidth="1"/>
    <col min="13570" max="13570" width="9.7109375" style="12" customWidth="1"/>
    <col min="13571" max="13571" width="11" style="12" customWidth="1"/>
    <col min="13572" max="13572" width="11.42578125" style="12" customWidth="1"/>
    <col min="13573" max="13574" width="9.7109375" style="12" customWidth="1"/>
    <col min="13575" max="13575" width="11.28515625" style="12" customWidth="1"/>
    <col min="13576" max="13576" width="12.140625" style="12" customWidth="1"/>
    <col min="13577" max="13577" width="9.7109375" style="12" customWidth="1"/>
    <col min="13578" max="13578" width="11" style="12" customWidth="1"/>
    <col min="13579" max="13579" width="8.140625" style="12" customWidth="1"/>
    <col min="13580" max="13580" width="11" style="12" customWidth="1"/>
    <col min="13581" max="13581" width="9.85546875" style="12" customWidth="1"/>
    <col min="13582" max="13582" width="8.85546875" style="12" customWidth="1"/>
    <col min="13583" max="13814" width="11.42578125" style="12"/>
    <col min="13815" max="13815" width="34" style="12" customWidth="1"/>
    <col min="13816" max="13816" width="12.28515625" style="12" customWidth="1"/>
    <col min="13817" max="13817" width="9.42578125" style="12" customWidth="1"/>
    <col min="13818" max="13818" width="11.140625" style="12" customWidth="1"/>
    <col min="13819" max="13819" width="10.140625" style="12" customWidth="1"/>
    <col min="13820" max="13822" width="9.7109375" style="12" customWidth="1"/>
    <col min="13823" max="13823" width="10.140625" style="12" customWidth="1"/>
    <col min="13824" max="13824" width="11.42578125" style="12" bestFit="1" customWidth="1"/>
    <col min="13825" max="13825" width="11" style="12" customWidth="1"/>
    <col min="13826" max="13826" width="9.7109375" style="12" customWidth="1"/>
    <col min="13827" max="13827" width="11" style="12" customWidth="1"/>
    <col min="13828" max="13828" width="11.42578125" style="12" customWidth="1"/>
    <col min="13829" max="13830" width="9.7109375" style="12" customWidth="1"/>
    <col min="13831" max="13831" width="11.28515625" style="12" customWidth="1"/>
    <col min="13832" max="13832" width="12.140625" style="12" customWidth="1"/>
    <col min="13833" max="13833" width="9.7109375" style="12" customWidth="1"/>
    <col min="13834" max="13834" width="11" style="12" customWidth="1"/>
    <col min="13835" max="13835" width="8.140625" style="12" customWidth="1"/>
    <col min="13836" max="13836" width="11" style="12" customWidth="1"/>
    <col min="13837" max="13837" width="9.85546875" style="12" customWidth="1"/>
    <col min="13838" max="13838" width="8.85546875" style="12" customWidth="1"/>
    <col min="13839" max="14070" width="11.42578125" style="12"/>
    <col min="14071" max="14071" width="34" style="12" customWidth="1"/>
    <col min="14072" max="14072" width="12.28515625" style="12" customWidth="1"/>
    <col min="14073" max="14073" width="9.42578125" style="12" customWidth="1"/>
    <col min="14074" max="14074" width="11.140625" style="12" customWidth="1"/>
    <col min="14075" max="14075" width="10.140625" style="12" customWidth="1"/>
    <col min="14076" max="14078" width="9.7109375" style="12" customWidth="1"/>
    <col min="14079" max="14079" width="10.140625" style="12" customWidth="1"/>
    <col min="14080" max="14080" width="11.42578125" style="12" bestFit="1" customWidth="1"/>
    <col min="14081" max="14081" width="11" style="12" customWidth="1"/>
    <col min="14082" max="14082" width="9.7109375" style="12" customWidth="1"/>
    <col min="14083" max="14083" width="11" style="12" customWidth="1"/>
    <col min="14084" max="14084" width="11.42578125" style="12" customWidth="1"/>
    <col min="14085" max="14086" width="9.7109375" style="12" customWidth="1"/>
    <col min="14087" max="14087" width="11.28515625" style="12" customWidth="1"/>
    <col min="14088" max="14088" width="12.140625" style="12" customWidth="1"/>
    <col min="14089" max="14089" width="9.7109375" style="12" customWidth="1"/>
    <col min="14090" max="14090" width="11" style="12" customWidth="1"/>
    <col min="14091" max="14091" width="8.140625" style="12" customWidth="1"/>
    <col min="14092" max="14092" width="11" style="12" customWidth="1"/>
    <col min="14093" max="14093" width="9.85546875" style="12" customWidth="1"/>
    <col min="14094" max="14094" width="8.85546875" style="12" customWidth="1"/>
    <col min="14095" max="14326" width="11.42578125" style="12"/>
    <col min="14327" max="14327" width="34" style="12" customWidth="1"/>
    <col min="14328" max="14328" width="12.28515625" style="12" customWidth="1"/>
    <col min="14329" max="14329" width="9.42578125" style="12" customWidth="1"/>
    <col min="14330" max="14330" width="11.140625" style="12" customWidth="1"/>
    <col min="14331" max="14331" width="10.140625" style="12" customWidth="1"/>
    <col min="14332" max="14334" width="9.7109375" style="12" customWidth="1"/>
    <col min="14335" max="14335" width="10.140625" style="12" customWidth="1"/>
    <col min="14336" max="14336" width="11.42578125" style="12" bestFit="1" customWidth="1"/>
    <col min="14337" max="14337" width="11" style="12" customWidth="1"/>
    <col min="14338" max="14338" width="9.7109375" style="12" customWidth="1"/>
    <col min="14339" max="14339" width="11" style="12" customWidth="1"/>
    <col min="14340" max="14340" width="11.42578125" style="12" customWidth="1"/>
    <col min="14341" max="14342" width="9.7109375" style="12" customWidth="1"/>
    <col min="14343" max="14343" width="11.28515625" style="12" customWidth="1"/>
    <col min="14344" max="14344" width="12.140625" style="12" customWidth="1"/>
    <col min="14345" max="14345" width="9.7109375" style="12" customWidth="1"/>
    <col min="14346" max="14346" width="11" style="12" customWidth="1"/>
    <col min="14347" max="14347" width="8.140625" style="12" customWidth="1"/>
    <col min="14348" max="14348" width="11" style="12" customWidth="1"/>
    <col min="14349" max="14349" width="9.85546875" style="12" customWidth="1"/>
    <col min="14350" max="14350" width="8.85546875" style="12" customWidth="1"/>
    <col min="14351" max="14582" width="11.42578125" style="12"/>
    <col min="14583" max="14583" width="34" style="12" customWidth="1"/>
    <col min="14584" max="14584" width="12.28515625" style="12" customWidth="1"/>
    <col min="14585" max="14585" width="9.42578125" style="12" customWidth="1"/>
    <col min="14586" max="14586" width="11.140625" style="12" customWidth="1"/>
    <col min="14587" max="14587" width="10.140625" style="12" customWidth="1"/>
    <col min="14588" max="14590" width="9.7109375" style="12" customWidth="1"/>
    <col min="14591" max="14591" width="10.140625" style="12" customWidth="1"/>
    <col min="14592" max="14592" width="11.42578125" style="12" bestFit="1" customWidth="1"/>
    <col min="14593" max="14593" width="11" style="12" customWidth="1"/>
    <col min="14594" max="14594" width="9.7109375" style="12" customWidth="1"/>
    <col min="14595" max="14595" width="11" style="12" customWidth="1"/>
    <col min="14596" max="14596" width="11.42578125" style="12" customWidth="1"/>
    <col min="14597" max="14598" width="9.7109375" style="12" customWidth="1"/>
    <col min="14599" max="14599" width="11.28515625" style="12" customWidth="1"/>
    <col min="14600" max="14600" width="12.140625" style="12" customWidth="1"/>
    <col min="14601" max="14601" width="9.7109375" style="12" customWidth="1"/>
    <col min="14602" max="14602" width="11" style="12" customWidth="1"/>
    <col min="14603" max="14603" width="8.140625" style="12" customWidth="1"/>
    <col min="14604" max="14604" width="11" style="12" customWidth="1"/>
    <col min="14605" max="14605" width="9.85546875" style="12" customWidth="1"/>
    <col min="14606" max="14606" width="8.85546875" style="12" customWidth="1"/>
    <col min="14607" max="14838" width="11.42578125" style="12"/>
    <col min="14839" max="14839" width="34" style="12" customWidth="1"/>
    <col min="14840" max="14840" width="12.28515625" style="12" customWidth="1"/>
    <col min="14841" max="14841" width="9.42578125" style="12" customWidth="1"/>
    <col min="14842" max="14842" width="11.140625" style="12" customWidth="1"/>
    <col min="14843" max="14843" width="10.140625" style="12" customWidth="1"/>
    <col min="14844" max="14846" width="9.7109375" style="12" customWidth="1"/>
    <col min="14847" max="14847" width="10.140625" style="12" customWidth="1"/>
    <col min="14848" max="14848" width="11.42578125" style="12" bestFit="1" customWidth="1"/>
    <col min="14849" max="14849" width="11" style="12" customWidth="1"/>
    <col min="14850" max="14850" width="9.7109375" style="12" customWidth="1"/>
    <col min="14851" max="14851" width="11" style="12" customWidth="1"/>
    <col min="14852" max="14852" width="11.42578125" style="12" customWidth="1"/>
    <col min="14853" max="14854" width="9.7109375" style="12" customWidth="1"/>
    <col min="14855" max="14855" width="11.28515625" style="12" customWidth="1"/>
    <col min="14856" max="14856" width="12.140625" style="12" customWidth="1"/>
    <col min="14857" max="14857" width="9.7109375" style="12" customWidth="1"/>
    <col min="14858" max="14858" width="11" style="12" customWidth="1"/>
    <col min="14859" max="14859" width="8.140625" style="12" customWidth="1"/>
    <col min="14860" max="14860" width="11" style="12" customWidth="1"/>
    <col min="14861" max="14861" width="9.85546875" style="12" customWidth="1"/>
    <col min="14862" max="14862" width="8.85546875" style="12" customWidth="1"/>
    <col min="14863" max="15094" width="11.42578125" style="12"/>
    <col min="15095" max="15095" width="34" style="12" customWidth="1"/>
    <col min="15096" max="15096" width="12.28515625" style="12" customWidth="1"/>
    <col min="15097" max="15097" width="9.42578125" style="12" customWidth="1"/>
    <col min="15098" max="15098" width="11.140625" style="12" customWidth="1"/>
    <col min="15099" max="15099" width="10.140625" style="12" customWidth="1"/>
    <col min="15100" max="15102" width="9.7109375" style="12" customWidth="1"/>
    <col min="15103" max="15103" width="10.140625" style="12" customWidth="1"/>
    <col min="15104" max="15104" width="11.42578125" style="12" bestFit="1" customWidth="1"/>
    <col min="15105" max="15105" width="11" style="12" customWidth="1"/>
    <col min="15106" max="15106" width="9.7109375" style="12" customWidth="1"/>
    <col min="15107" max="15107" width="11" style="12" customWidth="1"/>
    <col min="15108" max="15108" width="11.42578125" style="12" customWidth="1"/>
    <col min="15109" max="15110" width="9.7109375" style="12" customWidth="1"/>
    <col min="15111" max="15111" width="11.28515625" style="12" customWidth="1"/>
    <col min="15112" max="15112" width="12.140625" style="12" customWidth="1"/>
    <col min="15113" max="15113" width="9.7109375" style="12" customWidth="1"/>
    <col min="15114" max="15114" width="11" style="12" customWidth="1"/>
    <col min="15115" max="15115" width="8.140625" style="12" customWidth="1"/>
    <col min="15116" max="15116" width="11" style="12" customWidth="1"/>
    <col min="15117" max="15117" width="9.85546875" style="12" customWidth="1"/>
    <col min="15118" max="15118" width="8.85546875" style="12" customWidth="1"/>
    <col min="15119" max="15350" width="11.42578125" style="12"/>
    <col min="15351" max="15351" width="34" style="12" customWidth="1"/>
    <col min="15352" max="15352" width="12.28515625" style="12" customWidth="1"/>
    <col min="15353" max="15353" width="9.42578125" style="12" customWidth="1"/>
    <col min="15354" max="15354" width="11.140625" style="12" customWidth="1"/>
    <col min="15355" max="15355" width="10.140625" style="12" customWidth="1"/>
    <col min="15356" max="15358" width="9.7109375" style="12" customWidth="1"/>
    <col min="15359" max="15359" width="10.140625" style="12" customWidth="1"/>
    <col min="15360" max="15360" width="11.42578125" style="12" bestFit="1" customWidth="1"/>
    <col min="15361" max="15361" width="11" style="12" customWidth="1"/>
    <col min="15362" max="15362" width="9.7109375" style="12" customWidth="1"/>
    <col min="15363" max="15363" width="11" style="12" customWidth="1"/>
    <col min="15364" max="15364" width="11.42578125" style="12" customWidth="1"/>
    <col min="15365" max="15366" width="9.7109375" style="12" customWidth="1"/>
    <col min="15367" max="15367" width="11.28515625" style="12" customWidth="1"/>
    <col min="15368" max="15368" width="12.140625" style="12" customWidth="1"/>
    <col min="15369" max="15369" width="9.7109375" style="12" customWidth="1"/>
    <col min="15370" max="15370" width="11" style="12" customWidth="1"/>
    <col min="15371" max="15371" width="8.140625" style="12" customWidth="1"/>
    <col min="15372" max="15372" width="11" style="12" customWidth="1"/>
    <col min="15373" max="15373" width="9.85546875" style="12" customWidth="1"/>
    <col min="15374" max="15374" width="8.85546875" style="12" customWidth="1"/>
    <col min="15375" max="15606" width="11.42578125" style="12"/>
    <col min="15607" max="15607" width="34" style="12" customWidth="1"/>
    <col min="15608" max="15608" width="12.28515625" style="12" customWidth="1"/>
    <col min="15609" max="15609" width="9.42578125" style="12" customWidth="1"/>
    <col min="15610" max="15610" width="11.140625" style="12" customWidth="1"/>
    <col min="15611" max="15611" width="10.140625" style="12" customWidth="1"/>
    <col min="15612" max="15614" width="9.7109375" style="12" customWidth="1"/>
    <col min="15615" max="15615" width="10.140625" style="12" customWidth="1"/>
    <col min="15616" max="15616" width="11.42578125" style="12" bestFit="1" customWidth="1"/>
    <col min="15617" max="15617" width="11" style="12" customWidth="1"/>
    <col min="15618" max="15618" width="9.7109375" style="12" customWidth="1"/>
    <col min="15619" max="15619" width="11" style="12" customWidth="1"/>
    <col min="15620" max="15620" width="11.42578125" style="12" customWidth="1"/>
    <col min="15621" max="15622" width="9.7109375" style="12" customWidth="1"/>
    <col min="15623" max="15623" width="11.28515625" style="12" customWidth="1"/>
    <col min="15624" max="15624" width="12.140625" style="12" customWidth="1"/>
    <col min="15625" max="15625" width="9.7109375" style="12" customWidth="1"/>
    <col min="15626" max="15626" width="11" style="12" customWidth="1"/>
    <col min="15627" max="15627" width="8.140625" style="12" customWidth="1"/>
    <col min="15628" max="15628" width="11" style="12" customWidth="1"/>
    <col min="15629" max="15629" width="9.85546875" style="12" customWidth="1"/>
    <col min="15630" max="15630" width="8.85546875" style="12" customWidth="1"/>
    <col min="15631" max="15862" width="11.42578125" style="12"/>
    <col min="15863" max="15863" width="34" style="12" customWidth="1"/>
    <col min="15864" max="15864" width="12.28515625" style="12" customWidth="1"/>
    <col min="15865" max="15865" width="9.42578125" style="12" customWidth="1"/>
    <col min="15866" max="15866" width="11.140625" style="12" customWidth="1"/>
    <col min="15867" max="15867" width="10.140625" style="12" customWidth="1"/>
    <col min="15868" max="15870" width="9.7109375" style="12" customWidth="1"/>
    <col min="15871" max="15871" width="10.140625" style="12" customWidth="1"/>
    <col min="15872" max="15872" width="11.42578125" style="12" bestFit="1" customWidth="1"/>
    <col min="15873" max="15873" width="11" style="12" customWidth="1"/>
    <col min="15874" max="15874" width="9.7109375" style="12" customWidth="1"/>
    <col min="15875" max="15875" width="11" style="12" customWidth="1"/>
    <col min="15876" max="15876" width="11.42578125" style="12" customWidth="1"/>
    <col min="15877" max="15878" width="9.7109375" style="12" customWidth="1"/>
    <col min="15879" max="15879" width="11.28515625" style="12" customWidth="1"/>
    <col min="15880" max="15880" width="12.140625" style="12" customWidth="1"/>
    <col min="15881" max="15881" width="9.7109375" style="12" customWidth="1"/>
    <col min="15882" max="15882" width="11" style="12" customWidth="1"/>
    <col min="15883" max="15883" width="8.140625" style="12" customWidth="1"/>
    <col min="15884" max="15884" width="11" style="12" customWidth="1"/>
    <col min="15885" max="15885" width="9.85546875" style="12" customWidth="1"/>
    <col min="15886" max="15886" width="8.85546875" style="12" customWidth="1"/>
    <col min="15887" max="16118" width="11.42578125" style="12"/>
    <col min="16119" max="16119" width="34" style="12" customWidth="1"/>
    <col min="16120" max="16120" width="12.28515625" style="12" customWidth="1"/>
    <col min="16121" max="16121" width="9.42578125" style="12" customWidth="1"/>
    <col min="16122" max="16122" width="11.140625" style="12" customWidth="1"/>
    <col min="16123" max="16123" width="10.140625" style="12" customWidth="1"/>
    <col min="16124" max="16126" width="9.7109375" style="12" customWidth="1"/>
    <col min="16127" max="16127" width="10.140625" style="12" customWidth="1"/>
    <col min="16128" max="16128" width="11.42578125" style="12" bestFit="1" customWidth="1"/>
    <col min="16129" max="16129" width="11" style="12" customWidth="1"/>
    <col min="16130" max="16130" width="9.7109375" style="12" customWidth="1"/>
    <col min="16131" max="16131" width="11" style="12" customWidth="1"/>
    <col min="16132" max="16132" width="11.42578125" style="12" customWidth="1"/>
    <col min="16133" max="16134" width="9.7109375" style="12" customWidth="1"/>
    <col min="16135" max="16135" width="11.28515625" style="12" customWidth="1"/>
    <col min="16136" max="16136" width="12.140625" style="12" customWidth="1"/>
    <col min="16137" max="16137" width="9.7109375" style="12" customWidth="1"/>
    <col min="16138" max="16138" width="11" style="12" customWidth="1"/>
    <col min="16139" max="16139" width="8.140625" style="12" customWidth="1"/>
    <col min="16140" max="16140" width="11" style="12" customWidth="1"/>
    <col min="16141" max="16141" width="9.85546875" style="12" customWidth="1"/>
    <col min="16142" max="16142" width="8.85546875" style="12" customWidth="1"/>
    <col min="16143" max="16384" width="11.42578125" style="12"/>
  </cols>
  <sheetData>
    <row r="1" spans="1:19" ht="17.100000000000001" customHeight="1" x14ac:dyDescent="0.3">
      <c r="A1" s="8" t="s">
        <v>32</v>
      </c>
      <c r="B1" s="1"/>
      <c r="C1" s="1"/>
      <c r="D1" s="1"/>
      <c r="E1" s="1"/>
      <c r="F1" s="1"/>
      <c r="G1" s="1"/>
      <c r="H1" s="1"/>
      <c r="I1" s="1"/>
      <c r="J1" s="1"/>
      <c r="K1" s="11"/>
      <c r="L1" s="11"/>
      <c r="M1" s="10"/>
      <c r="N1" s="1"/>
      <c r="O1" s="1"/>
      <c r="P1" s="1"/>
      <c r="Q1" s="1"/>
      <c r="R1" s="1"/>
      <c r="S1" s="1"/>
    </row>
    <row r="2" spans="1:19" ht="17.100000000000001" customHeight="1" x14ac:dyDescent="0.3">
      <c r="A2" s="7"/>
      <c r="B2" s="1"/>
      <c r="C2" s="1"/>
      <c r="D2" s="1"/>
      <c r="E2" s="1"/>
      <c r="F2" s="1"/>
      <c r="G2" s="1"/>
      <c r="H2" s="1"/>
      <c r="I2" s="1"/>
      <c r="J2" s="1"/>
      <c r="L2" s="10"/>
      <c r="M2" s="10"/>
      <c r="N2" s="1"/>
      <c r="O2" s="1"/>
      <c r="P2" s="1"/>
      <c r="Q2" s="1"/>
      <c r="R2" s="1"/>
      <c r="S2" s="1"/>
    </row>
    <row r="3" spans="1:19" ht="14.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0"/>
      <c r="L3" s="10"/>
      <c r="M3" s="10"/>
      <c r="N3" s="1"/>
      <c r="O3" s="1"/>
      <c r="P3" s="1"/>
      <c r="Q3" s="1"/>
      <c r="R3" s="1"/>
      <c r="S3" s="1"/>
    </row>
    <row r="4" spans="1:19" ht="14.1" customHeight="1" x14ac:dyDescent="0.3">
      <c r="A4" s="1"/>
      <c r="B4" s="1" t="s">
        <v>59</v>
      </c>
      <c r="C4" s="1"/>
      <c r="D4" s="1"/>
      <c r="E4" s="1"/>
      <c r="F4" s="1"/>
      <c r="G4" s="1"/>
      <c r="H4" s="1"/>
      <c r="I4" s="1"/>
      <c r="J4" s="1"/>
      <c r="K4" s="10"/>
      <c r="L4" s="11"/>
      <c r="M4" s="11"/>
      <c r="N4" s="8"/>
      <c r="O4" s="8"/>
      <c r="P4" s="8"/>
      <c r="Q4" s="8"/>
      <c r="R4" s="8"/>
      <c r="S4" s="1"/>
    </row>
    <row r="5" spans="1:19" ht="14.1" customHeight="1" thickBot="1" x14ac:dyDescent="0.3">
      <c r="A5" s="1"/>
      <c r="B5" s="1"/>
      <c r="C5" s="1"/>
      <c r="D5" s="1"/>
      <c r="E5" s="1"/>
      <c r="F5" s="1"/>
      <c r="G5" s="1"/>
      <c r="H5" s="1"/>
      <c r="I5" s="1"/>
      <c r="J5" s="1"/>
      <c r="K5" s="10"/>
      <c r="L5" s="10"/>
      <c r="M5" s="10"/>
      <c r="N5" s="1"/>
      <c r="O5" s="1"/>
      <c r="P5" s="1"/>
      <c r="Q5" s="1"/>
      <c r="R5" s="1"/>
      <c r="S5" s="1"/>
    </row>
    <row r="6" spans="1:19" ht="14.1" customHeight="1" thickTop="1" x14ac:dyDescent="0.25">
      <c r="A6" s="121" t="s">
        <v>0</v>
      </c>
      <c r="B6" s="168"/>
      <c r="C6" s="150" t="s">
        <v>30</v>
      </c>
      <c r="D6" s="150"/>
      <c r="E6" s="122"/>
      <c r="F6" s="150" t="s">
        <v>1</v>
      </c>
      <c r="G6" s="123"/>
      <c r="H6" s="122"/>
      <c r="I6" s="150" t="s">
        <v>2</v>
      </c>
      <c r="J6" s="150" t="s">
        <v>0</v>
      </c>
      <c r="K6" s="168"/>
      <c r="L6" s="150" t="s">
        <v>29</v>
      </c>
      <c r="M6" s="150"/>
      <c r="N6" s="150"/>
      <c r="O6" s="150" t="s">
        <v>3</v>
      </c>
      <c r="P6" s="150"/>
      <c r="Q6" s="168" t="s">
        <v>28</v>
      </c>
      <c r="R6" s="123"/>
      <c r="S6" s="124"/>
    </row>
    <row r="7" spans="1:19" ht="14.1" customHeight="1" x14ac:dyDescent="0.25">
      <c r="A7" s="136" t="s">
        <v>22</v>
      </c>
      <c r="B7" s="125" t="s">
        <v>5</v>
      </c>
      <c r="C7" s="23" t="s">
        <v>6</v>
      </c>
      <c r="D7" s="23" t="s">
        <v>7</v>
      </c>
      <c r="E7" s="125" t="s">
        <v>5</v>
      </c>
      <c r="F7" s="23" t="s">
        <v>6</v>
      </c>
      <c r="G7" s="23" t="s">
        <v>7</v>
      </c>
      <c r="H7" s="125" t="s">
        <v>5</v>
      </c>
      <c r="I7" s="23" t="s">
        <v>6</v>
      </c>
      <c r="J7" s="23" t="s">
        <v>7</v>
      </c>
      <c r="K7" s="125" t="s">
        <v>5</v>
      </c>
      <c r="L7" s="23" t="s">
        <v>6</v>
      </c>
      <c r="M7" s="23" t="s">
        <v>7</v>
      </c>
      <c r="N7" s="125" t="s">
        <v>5</v>
      </c>
      <c r="O7" s="23" t="s">
        <v>6</v>
      </c>
      <c r="P7" s="23" t="s">
        <v>7</v>
      </c>
      <c r="Q7" s="125" t="s">
        <v>5</v>
      </c>
      <c r="R7" s="23" t="s">
        <v>7</v>
      </c>
      <c r="S7" s="124"/>
    </row>
    <row r="8" spans="1:19" ht="14.1" customHeight="1" x14ac:dyDescent="0.25">
      <c r="A8" s="126"/>
      <c r="B8" s="125" t="s">
        <v>8</v>
      </c>
      <c r="C8" s="23" t="s">
        <v>9</v>
      </c>
      <c r="D8" s="23" t="s">
        <v>10</v>
      </c>
      <c r="E8" s="125" t="s">
        <v>8</v>
      </c>
      <c r="F8" s="23" t="s">
        <v>9</v>
      </c>
      <c r="G8" s="23" t="s">
        <v>10</v>
      </c>
      <c r="H8" s="125" t="s">
        <v>8</v>
      </c>
      <c r="I8" s="23" t="s">
        <v>9</v>
      </c>
      <c r="J8" s="23" t="s">
        <v>10</v>
      </c>
      <c r="K8" s="125" t="s">
        <v>8</v>
      </c>
      <c r="L8" s="23" t="s">
        <v>9</v>
      </c>
      <c r="M8" s="23" t="s">
        <v>10</v>
      </c>
      <c r="N8" s="125" t="s">
        <v>8</v>
      </c>
      <c r="O8" s="23" t="s">
        <v>9</v>
      </c>
      <c r="P8" s="23" t="s">
        <v>10</v>
      </c>
      <c r="Q8" s="125" t="s">
        <v>8</v>
      </c>
      <c r="R8" s="23" t="s">
        <v>10</v>
      </c>
      <c r="S8" s="124"/>
    </row>
    <row r="9" spans="1:19" s="129" customFormat="1" ht="24.95" customHeight="1" x14ac:dyDescent="0.3">
      <c r="A9" s="193" t="s">
        <v>14</v>
      </c>
      <c r="B9" s="214">
        <v>222</v>
      </c>
      <c r="C9" s="14">
        <v>1450</v>
      </c>
      <c r="D9" s="18">
        <v>12085.344941064181</v>
      </c>
      <c r="E9" s="15">
        <v>11965.204028380067</v>
      </c>
      <c r="F9" s="14">
        <v>1202</v>
      </c>
      <c r="G9" s="207">
        <v>14382.175242112842</v>
      </c>
      <c r="H9" s="15">
        <v>12313</v>
      </c>
      <c r="I9" s="14">
        <v>3150</v>
      </c>
      <c r="J9" s="207">
        <v>38785.949999999997</v>
      </c>
      <c r="K9" s="15">
        <v>44412.75</v>
      </c>
      <c r="L9" s="14">
        <v>3500</v>
      </c>
      <c r="M9" s="207">
        <v>155444.625</v>
      </c>
      <c r="N9" s="15">
        <v>250.95</v>
      </c>
      <c r="O9" s="14">
        <v>800</v>
      </c>
      <c r="P9" s="207">
        <v>200.76</v>
      </c>
      <c r="Q9" s="128">
        <f>N9+K9+H9+E9+B9</f>
        <v>69163.904028380057</v>
      </c>
      <c r="R9" s="115">
        <f>P9+M9+J9+G9+D9</f>
        <v>220898.85518317705</v>
      </c>
      <c r="S9" s="169"/>
    </row>
    <row r="10" spans="1:19" s="129" customFormat="1" ht="24.95" customHeight="1" x14ac:dyDescent="0.3">
      <c r="A10" s="194" t="s">
        <v>33</v>
      </c>
      <c r="B10" s="9">
        <v>28780.080000000002</v>
      </c>
      <c r="C10" s="25">
        <v>1560</v>
      </c>
      <c r="D10" s="19">
        <v>44896.924800000008</v>
      </c>
      <c r="E10" s="9">
        <v>10855.440583126399</v>
      </c>
      <c r="F10" s="25">
        <v>1744</v>
      </c>
      <c r="G10" s="19">
        <v>18931.888376972442</v>
      </c>
      <c r="H10" s="9">
        <v>12178</v>
      </c>
      <c r="I10" s="25">
        <v>3500</v>
      </c>
      <c r="J10" s="19">
        <v>42623</v>
      </c>
      <c r="K10" s="9">
        <v>29600</v>
      </c>
      <c r="L10" s="25">
        <v>3590</v>
      </c>
      <c r="M10" s="19">
        <v>106264</v>
      </c>
      <c r="N10" s="9"/>
      <c r="O10" s="25"/>
      <c r="P10" s="19"/>
      <c r="Q10" s="131">
        <f>N10+K10+H10+E10+B10</f>
        <v>81413.520583126403</v>
      </c>
      <c r="R10" s="116">
        <f>P10+M10+J10+G10+D10</f>
        <v>212715.81317697244</v>
      </c>
      <c r="S10" s="169"/>
    </row>
    <row r="11" spans="1:19" s="129" customFormat="1" ht="24.95" customHeight="1" x14ac:dyDescent="0.3">
      <c r="A11" s="194" t="s">
        <v>54</v>
      </c>
      <c r="B11" s="9">
        <v>7034.3705197953923</v>
      </c>
      <c r="C11" s="16">
        <v>1700</v>
      </c>
      <c r="D11" s="19">
        <v>11958.429883652167</v>
      </c>
      <c r="E11" s="9">
        <v>20206.493928117667</v>
      </c>
      <c r="F11" s="16">
        <v>1466</v>
      </c>
      <c r="G11" s="19">
        <v>29622.720098620499</v>
      </c>
      <c r="H11" s="9">
        <v>23304</v>
      </c>
      <c r="I11" s="16">
        <v>3500</v>
      </c>
      <c r="J11" s="19">
        <v>81564</v>
      </c>
      <c r="K11" s="9">
        <v>42754.559999999998</v>
      </c>
      <c r="L11" s="16">
        <v>3700</v>
      </c>
      <c r="M11" s="19">
        <v>158191.872</v>
      </c>
      <c r="N11" s="9">
        <v>72</v>
      </c>
      <c r="O11" s="16">
        <v>340</v>
      </c>
      <c r="P11" s="19">
        <v>24.48</v>
      </c>
      <c r="Q11" s="131">
        <f>N11+K11+H11+E11+B11</f>
        <v>93371.424447913058</v>
      </c>
      <c r="R11" s="208">
        <f>P11+M11+J11+G11+D11</f>
        <v>281361.50198227272</v>
      </c>
      <c r="S11" s="209"/>
    </row>
    <row r="12" spans="1:19" s="129" customFormat="1" ht="24.95" customHeight="1" x14ac:dyDescent="0.3">
      <c r="A12" s="194" t="s">
        <v>57</v>
      </c>
      <c r="B12" s="9"/>
      <c r="C12" s="25"/>
      <c r="D12" s="19"/>
      <c r="E12" s="9"/>
      <c r="F12" s="25"/>
      <c r="G12" s="19"/>
      <c r="H12" s="9"/>
      <c r="I12" s="25"/>
      <c r="J12" s="19"/>
      <c r="K12" s="9">
        <v>4352.8</v>
      </c>
      <c r="L12" s="25">
        <v>5400</v>
      </c>
      <c r="M12" s="19">
        <v>23505.119999999999</v>
      </c>
      <c r="N12" s="9"/>
      <c r="O12" s="25"/>
      <c r="P12" s="19"/>
      <c r="Q12" s="131">
        <f>N12+K12+H12+E12+B12</f>
        <v>4352.8</v>
      </c>
      <c r="R12" s="116">
        <f>P12+M12+J12+G12+D12</f>
        <v>23505.119999999999</v>
      </c>
      <c r="S12" s="169"/>
    </row>
    <row r="13" spans="1:19" ht="12.95" customHeight="1" x14ac:dyDescent="0.3">
      <c r="A13" s="132"/>
      <c r="B13" s="133"/>
      <c r="C13" s="134"/>
      <c r="D13" s="134"/>
      <c r="E13" s="133"/>
      <c r="F13" s="134"/>
      <c r="G13" s="134"/>
      <c r="H13" s="133"/>
      <c r="I13" s="134"/>
      <c r="J13" s="134"/>
      <c r="K13" s="170"/>
      <c r="L13" s="171"/>
      <c r="M13" s="171"/>
      <c r="N13" s="170"/>
      <c r="O13" s="171"/>
      <c r="P13" s="171"/>
      <c r="Q13" s="133"/>
      <c r="R13" s="134"/>
      <c r="S13" s="124"/>
    </row>
    <row r="14" spans="1:19" ht="17.100000000000001" customHeight="1" x14ac:dyDescent="0.3">
      <c r="A14" s="136" t="s">
        <v>27</v>
      </c>
      <c r="B14" s="137">
        <f>SUM(B9:B12)</f>
        <v>36036.450519795391</v>
      </c>
      <c r="C14" s="117">
        <f>(D14/B14)*1000</f>
        <v>1913.0824104567716</v>
      </c>
      <c r="D14" s="117">
        <f>SUM(D9:D12)</f>
        <v>68940.699624716348</v>
      </c>
      <c r="E14" s="137">
        <f>SUM(E9:E11)</f>
        <v>43027.138539624139</v>
      </c>
      <c r="F14" s="117">
        <f>(G14/E14)*1000</f>
        <v>1462.7229663377834</v>
      </c>
      <c r="G14" s="117">
        <f>SUM(G9:G11)</f>
        <v>62936.783717705781</v>
      </c>
      <c r="H14" s="137">
        <f>SUM(H9:H12)</f>
        <v>47795</v>
      </c>
      <c r="I14" s="117">
        <f>(J14/H14)*1000</f>
        <v>3409.8326184747361</v>
      </c>
      <c r="J14" s="117">
        <f>SUM(J9:J12)</f>
        <v>162972.95000000001</v>
      </c>
      <c r="K14" s="137">
        <f>SUM(K9:K12)</f>
        <v>121120.11</v>
      </c>
      <c r="L14" s="117">
        <f>(M14/K14)*1000</f>
        <v>3660.8752832209279</v>
      </c>
      <c r="M14" s="117">
        <f>SUM(M9:M12)</f>
        <v>443405.61699999997</v>
      </c>
      <c r="N14" s="137">
        <f>SUM(N9:N11)</f>
        <v>322.95</v>
      </c>
      <c r="O14" s="117">
        <f>(P14/N14)*1000</f>
        <v>697.44542498838825</v>
      </c>
      <c r="P14" s="117">
        <f>SUM(P9:P11)</f>
        <v>225.23999999999998</v>
      </c>
      <c r="Q14" s="137">
        <f>SUM(Q9:Q12)</f>
        <v>248301.64905941952</v>
      </c>
      <c r="R14" s="117">
        <f>SUM(R9:R12)</f>
        <v>738481.2903424222</v>
      </c>
      <c r="S14" s="124"/>
    </row>
    <row r="15" spans="1:19" ht="12.95" customHeight="1" x14ac:dyDescent="0.3">
      <c r="A15" s="139"/>
      <c r="B15" s="140"/>
      <c r="C15" s="141"/>
      <c r="D15" s="141"/>
      <c r="E15" s="140"/>
      <c r="F15" s="141"/>
      <c r="G15" s="141"/>
      <c r="H15" s="140"/>
      <c r="I15" s="141"/>
      <c r="J15" s="141"/>
      <c r="K15" s="172"/>
      <c r="L15" s="173"/>
      <c r="M15" s="173"/>
      <c r="N15" s="172"/>
      <c r="O15" s="173"/>
      <c r="P15" s="173"/>
      <c r="Q15" s="140"/>
      <c r="R15" s="141"/>
      <c r="S15" s="124"/>
    </row>
    <row r="16" spans="1:19" ht="17.100000000000001" customHeight="1" x14ac:dyDescent="0.3">
      <c r="A16" s="3" t="s">
        <v>58</v>
      </c>
      <c r="B16" s="137">
        <v>40312.317538585208</v>
      </c>
      <c r="C16" s="138">
        <v>1922.1387343630365</v>
      </c>
      <c r="D16" s="138">
        <v>77485.867012857008</v>
      </c>
      <c r="E16" s="137">
        <v>45389.535643297699</v>
      </c>
      <c r="F16" s="138">
        <v>1335.9141562016782</v>
      </c>
      <c r="G16" s="138">
        <v>60636.523209302046</v>
      </c>
      <c r="H16" s="137">
        <v>48100.452343487035</v>
      </c>
      <c r="I16" s="138">
        <v>3836.8710246814235</v>
      </c>
      <c r="J16" s="138">
        <v>184555.23187079508</v>
      </c>
      <c r="K16" s="174">
        <v>109481.42509999999</v>
      </c>
      <c r="L16" s="175">
        <v>3100.8932233473461</v>
      </c>
      <c r="M16" s="175">
        <v>339490.20917500003</v>
      </c>
      <c r="N16" s="174">
        <v>311.19983450617281</v>
      </c>
      <c r="O16" s="175">
        <v>776.79952670259513</v>
      </c>
      <c r="P16" s="175">
        <v>241.73988415432098</v>
      </c>
      <c r="Q16" s="137">
        <v>243594.93045987614</v>
      </c>
      <c r="R16" s="138">
        <v>645707.57115210849</v>
      </c>
      <c r="S16" s="124"/>
    </row>
    <row r="17" spans="1:19" ht="12.95" customHeight="1" x14ac:dyDescent="0.3">
      <c r="A17" s="139"/>
      <c r="B17" s="154"/>
      <c r="C17" s="156"/>
      <c r="D17" s="156"/>
      <c r="E17" s="157"/>
      <c r="F17" s="155"/>
      <c r="G17" s="155"/>
      <c r="H17" s="157"/>
      <c r="I17" s="155"/>
      <c r="J17" s="155"/>
      <c r="K17" s="176"/>
      <c r="L17" s="177"/>
      <c r="M17" s="177"/>
      <c r="N17" s="176"/>
      <c r="O17" s="177"/>
      <c r="P17" s="177"/>
      <c r="Q17" s="140"/>
      <c r="R17" s="141"/>
      <c r="S17" s="124"/>
    </row>
    <row r="18" spans="1:19" ht="17.100000000000001" customHeight="1" x14ac:dyDescent="0.3">
      <c r="A18" s="136" t="s">
        <v>20</v>
      </c>
      <c r="B18" s="143">
        <f t="shared" ref="B18:R18" si="0">((B14-B16)/B16)*100</f>
        <v>-10.606849915530512</v>
      </c>
      <c r="C18" s="144">
        <f t="shared" si="0"/>
        <v>-0.47115870172950802</v>
      </c>
      <c r="D18" s="145">
        <f t="shared" si="0"/>
        <v>-11.028033520903605</v>
      </c>
      <c r="E18" s="143">
        <f t="shared" si="0"/>
        <v>-5.2047174975283008</v>
      </c>
      <c r="F18" s="144">
        <f t="shared" si="0"/>
        <v>9.4922873260549014</v>
      </c>
      <c r="G18" s="145">
        <f t="shared" si="0"/>
        <v>3.7935230891517535</v>
      </c>
      <c r="H18" s="143">
        <f t="shared" si="0"/>
        <v>-0.63503008517630821</v>
      </c>
      <c r="I18" s="144">
        <f t="shared" si="0"/>
        <v>-11.129860854317991</v>
      </c>
      <c r="J18" s="145">
        <f t="shared" si="0"/>
        <v>-11.694212974631119</v>
      </c>
      <c r="K18" s="143">
        <f t="shared" si="0"/>
        <v>10.630739314335075</v>
      </c>
      <c r="L18" s="144">
        <f t="shared" si="0"/>
        <v>18.058734033708312</v>
      </c>
      <c r="M18" s="145">
        <f t="shared" si="0"/>
        <v>30.609250286636026</v>
      </c>
      <c r="N18" s="143">
        <f t="shared" si="0"/>
        <v>3.7757621280464124</v>
      </c>
      <c r="O18" s="144">
        <f t="shared" si="0"/>
        <v>-10.215518803294577</v>
      </c>
      <c r="P18" s="145">
        <f t="shared" si="0"/>
        <v>-6.8254703654064235</v>
      </c>
      <c r="Q18" s="144">
        <f t="shared" si="0"/>
        <v>1.932190703089633</v>
      </c>
      <c r="R18" s="145">
        <f t="shared" si="0"/>
        <v>14.367760784464942</v>
      </c>
      <c r="S18" s="124"/>
    </row>
    <row r="19" spans="1:19" ht="12.95" customHeight="1" thickBot="1" x14ac:dyDescent="0.3">
      <c r="A19" s="139"/>
      <c r="B19" s="146"/>
      <c r="C19" s="147"/>
      <c r="D19" s="147"/>
      <c r="E19" s="146"/>
      <c r="F19" s="147"/>
      <c r="G19" s="147"/>
      <c r="H19" s="146"/>
      <c r="I19" s="147"/>
      <c r="J19" s="147"/>
      <c r="K19" s="178"/>
      <c r="L19" s="179"/>
      <c r="M19" s="179"/>
      <c r="N19" s="178"/>
      <c r="O19" s="179"/>
      <c r="P19" s="179"/>
      <c r="Q19" s="148"/>
      <c r="R19" s="147"/>
      <c r="S19" s="124"/>
    </row>
    <row r="20" spans="1:19" ht="14.1" customHeight="1" thickTop="1" x14ac:dyDescent="0.25">
      <c r="A20" s="149"/>
      <c r="B20" s="123"/>
      <c r="C20" s="123"/>
      <c r="D20" s="123"/>
      <c r="E20" s="123"/>
      <c r="F20" s="123"/>
      <c r="G20" s="123"/>
      <c r="H20" s="123"/>
      <c r="I20" s="123"/>
      <c r="J20" s="123"/>
      <c r="K20" s="180"/>
      <c r="L20" s="180"/>
      <c r="M20" s="180"/>
      <c r="N20" s="150"/>
      <c r="O20" s="123"/>
      <c r="P20" s="123"/>
      <c r="Q20" s="123"/>
      <c r="R20" s="123"/>
    </row>
    <row r="21" spans="1:19" ht="14.1" customHeight="1" thickBot="1" x14ac:dyDescent="0.3">
      <c r="A21" s="6"/>
      <c r="B21" s="1"/>
      <c r="C21" s="1"/>
      <c r="D21" s="1"/>
      <c r="E21" s="1"/>
      <c r="F21" s="1"/>
      <c r="G21" s="1"/>
      <c r="H21" s="1"/>
      <c r="I21" s="1"/>
      <c r="J21" s="1"/>
      <c r="K21" s="10"/>
      <c r="L21" s="10"/>
      <c r="M21" s="10"/>
      <c r="N21" s="1"/>
      <c r="O21" s="1"/>
      <c r="P21" s="1"/>
      <c r="Q21" s="1"/>
    </row>
    <row r="22" spans="1:19" ht="14.1" customHeight="1" thickTop="1" x14ac:dyDescent="0.25">
      <c r="A22" s="151" t="s">
        <v>0</v>
      </c>
      <c r="B22" s="168" t="s">
        <v>34</v>
      </c>
      <c r="C22" s="123"/>
      <c r="D22" s="123"/>
      <c r="E22" s="122"/>
      <c r="F22" s="150" t="s">
        <v>26</v>
      </c>
      <c r="G22" s="123"/>
      <c r="H22" s="122"/>
      <c r="I22" s="150" t="s">
        <v>23</v>
      </c>
      <c r="J22" s="150" t="s">
        <v>0</v>
      </c>
      <c r="K22" s="122"/>
      <c r="L22" s="150" t="s">
        <v>25</v>
      </c>
      <c r="M22" s="150"/>
      <c r="N22" s="122"/>
      <c r="O22" s="150" t="s">
        <v>31</v>
      </c>
      <c r="P22" s="123"/>
      <c r="Q22" s="122"/>
      <c r="R22" s="150" t="s">
        <v>24</v>
      </c>
      <c r="S22" s="181"/>
    </row>
    <row r="23" spans="1:19" ht="14.1" customHeight="1" x14ac:dyDescent="0.25">
      <c r="A23" s="136" t="s">
        <v>22</v>
      </c>
      <c r="B23" s="125" t="s">
        <v>5</v>
      </c>
      <c r="C23" s="23" t="s">
        <v>6</v>
      </c>
      <c r="D23" s="23" t="s">
        <v>7</v>
      </c>
      <c r="E23" s="125" t="s">
        <v>5</v>
      </c>
      <c r="F23" s="23" t="s">
        <v>6</v>
      </c>
      <c r="G23" s="23" t="s">
        <v>7</v>
      </c>
      <c r="H23" s="125" t="s">
        <v>5</v>
      </c>
      <c r="I23" s="23" t="s">
        <v>6</v>
      </c>
      <c r="J23" s="23" t="s">
        <v>7</v>
      </c>
      <c r="K23" s="125" t="s">
        <v>5</v>
      </c>
      <c r="L23" s="23" t="s">
        <v>6</v>
      </c>
      <c r="M23" s="23" t="s">
        <v>7</v>
      </c>
      <c r="N23" s="125" t="s">
        <v>5</v>
      </c>
      <c r="O23" s="23" t="s">
        <v>6</v>
      </c>
      <c r="P23" s="4" t="s">
        <v>7</v>
      </c>
      <c r="Q23" s="125" t="s">
        <v>5</v>
      </c>
      <c r="R23" s="4" t="s">
        <v>6</v>
      </c>
      <c r="S23" s="24" t="s">
        <v>7</v>
      </c>
    </row>
    <row r="24" spans="1:19" ht="14.1" customHeight="1" x14ac:dyDescent="0.25">
      <c r="A24" s="152"/>
      <c r="B24" s="125" t="s">
        <v>8</v>
      </c>
      <c r="C24" s="23" t="s">
        <v>9</v>
      </c>
      <c r="D24" s="23" t="s">
        <v>10</v>
      </c>
      <c r="E24" s="125" t="s">
        <v>8</v>
      </c>
      <c r="F24" s="23" t="s">
        <v>9</v>
      </c>
      <c r="G24" s="23" t="s">
        <v>10</v>
      </c>
      <c r="H24" s="125" t="s">
        <v>8</v>
      </c>
      <c r="I24" s="23" t="s">
        <v>9</v>
      </c>
      <c r="J24" s="23" t="s">
        <v>10</v>
      </c>
      <c r="K24" s="125" t="s">
        <v>8</v>
      </c>
      <c r="L24" s="23" t="s">
        <v>9</v>
      </c>
      <c r="M24" s="23" t="s">
        <v>10</v>
      </c>
      <c r="N24" s="125" t="s">
        <v>8</v>
      </c>
      <c r="O24" s="23" t="s">
        <v>9</v>
      </c>
      <c r="P24" s="4" t="s">
        <v>10</v>
      </c>
      <c r="Q24" s="125" t="s">
        <v>8</v>
      </c>
      <c r="R24" s="4" t="s">
        <v>9</v>
      </c>
      <c r="S24" s="24" t="s">
        <v>10</v>
      </c>
    </row>
    <row r="25" spans="1:19" s="129" customFormat="1" ht="24.95" customHeight="1" x14ac:dyDescent="0.3">
      <c r="A25" s="127" t="s">
        <v>35</v>
      </c>
      <c r="B25" s="15">
        <v>31169.373899999999</v>
      </c>
      <c r="C25" s="14">
        <v>2470</v>
      </c>
      <c r="D25" s="18">
        <v>76988.353532999987</v>
      </c>
      <c r="E25" s="15">
        <v>2840</v>
      </c>
      <c r="F25" s="14">
        <v>719</v>
      </c>
      <c r="G25" s="18">
        <v>2043.17</v>
      </c>
      <c r="H25" s="15">
        <v>595.71037704222545</v>
      </c>
      <c r="I25" s="14">
        <v>504</v>
      </c>
      <c r="J25" s="18">
        <v>300.23803002928162</v>
      </c>
      <c r="K25" s="15">
        <v>320.63333333333333</v>
      </c>
      <c r="L25" s="14">
        <v>10000</v>
      </c>
      <c r="M25" s="18">
        <v>3206.3333333333335</v>
      </c>
      <c r="N25" s="15">
        <v>420.23352789560113</v>
      </c>
      <c r="O25" s="14">
        <v>16000</v>
      </c>
      <c r="P25" s="18">
        <v>6723.736446329618</v>
      </c>
      <c r="Q25" s="15">
        <v>951.3</v>
      </c>
      <c r="R25" s="14">
        <v>850</v>
      </c>
      <c r="S25" s="18">
        <v>808.60500000000002</v>
      </c>
    </row>
    <row r="26" spans="1:19" s="129" customFormat="1" ht="24.95" customHeight="1" x14ac:dyDescent="0.3">
      <c r="A26" s="130" t="s">
        <v>33</v>
      </c>
      <c r="B26" s="9">
        <v>47274.9765625</v>
      </c>
      <c r="C26" s="25">
        <v>2162</v>
      </c>
      <c r="D26" s="19">
        <v>102208.49932812501</v>
      </c>
      <c r="E26" s="9"/>
      <c r="F26" s="25"/>
      <c r="G26" s="19"/>
      <c r="H26" s="9">
        <v>632.13656155172418</v>
      </c>
      <c r="I26" s="25">
        <v>750</v>
      </c>
      <c r="J26" s="19">
        <v>474.10242116379311</v>
      </c>
      <c r="K26" s="9">
        <v>616.71901621533664</v>
      </c>
      <c r="L26" s="25">
        <v>11400</v>
      </c>
      <c r="M26" s="19">
        <v>7030.596784854838</v>
      </c>
      <c r="N26" s="9">
        <v>41.852343750000003</v>
      </c>
      <c r="O26" s="25">
        <v>15000</v>
      </c>
      <c r="P26" s="19">
        <v>627.78515625</v>
      </c>
      <c r="Q26" s="9">
        <v>1153</v>
      </c>
      <c r="R26" s="25">
        <v>750</v>
      </c>
      <c r="S26" s="19">
        <v>864.75</v>
      </c>
    </row>
    <row r="27" spans="1:19" s="129" customFormat="1" ht="24.95" customHeight="1" x14ac:dyDescent="0.3">
      <c r="A27" s="130" t="s">
        <v>36</v>
      </c>
      <c r="B27" s="9">
        <v>44932.2216286205</v>
      </c>
      <c r="C27" s="16">
        <v>1790</v>
      </c>
      <c r="D27" s="19">
        <v>80428.676715230686</v>
      </c>
      <c r="E27" s="9">
        <v>6608</v>
      </c>
      <c r="F27" s="16">
        <v>766</v>
      </c>
      <c r="G27" s="19">
        <v>5058.25</v>
      </c>
      <c r="H27" s="9">
        <v>528.05177652796874</v>
      </c>
      <c r="I27" s="16">
        <v>691</v>
      </c>
      <c r="J27" s="19">
        <v>364.8837775808264</v>
      </c>
      <c r="K27" s="9">
        <v>361.79811491979171</v>
      </c>
      <c r="L27" s="16">
        <v>7240</v>
      </c>
      <c r="M27" s="19">
        <v>2619.4183520192919</v>
      </c>
      <c r="N27" s="9">
        <v>444.15</v>
      </c>
      <c r="O27" s="16">
        <v>11000</v>
      </c>
      <c r="P27" s="19">
        <v>4885.6499999999996</v>
      </c>
      <c r="Q27" s="9">
        <v>2029.65</v>
      </c>
      <c r="R27" s="16">
        <v>750</v>
      </c>
      <c r="S27" s="19">
        <v>1522.2375</v>
      </c>
    </row>
    <row r="28" spans="1:19" ht="12.95" customHeight="1" x14ac:dyDescent="0.3">
      <c r="A28" s="132"/>
      <c r="B28" s="133"/>
      <c r="C28" s="134"/>
      <c r="D28" s="134"/>
      <c r="E28" s="133"/>
      <c r="F28" s="134"/>
      <c r="G28" s="134"/>
      <c r="H28" s="133"/>
      <c r="I28" s="134"/>
      <c r="J28" s="134"/>
      <c r="K28" s="170"/>
      <c r="L28" s="171"/>
      <c r="M28" s="171"/>
      <c r="N28" s="133"/>
      <c r="O28" s="134"/>
      <c r="P28" s="134"/>
      <c r="Q28" s="133"/>
      <c r="R28" s="134"/>
      <c r="S28" s="135"/>
    </row>
    <row r="29" spans="1:19" ht="17.100000000000001" customHeight="1" x14ac:dyDescent="0.3">
      <c r="A29" s="136" t="s">
        <v>21</v>
      </c>
      <c r="B29" s="137">
        <f>SUM(B25:B27)</f>
        <v>123376.5720911205</v>
      </c>
      <c r="C29" s="117">
        <f>(D29/B29)*1000</f>
        <v>2104.3341144590049</v>
      </c>
      <c r="D29" s="117">
        <f>SUM(D25:D27)</f>
        <v>259625.52957635568</v>
      </c>
      <c r="E29" s="137">
        <f>SUM(E25:E27)</f>
        <v>9448</v>
      </c>
      <c r="F29" s="117">
        <f>(G29/E29)*1000</f>
        <v>751.63209144792552</v>
      </c>
      <c r="G29" s="137">
        <f>SUM(G25:G27)</f>
        <v>7101.42</v>
      </c>
      <c r="H29" s="137">
        <f>SUM(H25:H27)</f>
        <v>1755.8987151219185</v>
      </c>
      <c r="I29" s="117">
        <f>(J29/H29)*1000</f>
        <v>648.79837257287397</v>
      </c>
      <c r="J29" s="117">
        <f>SUM(J25:J27)</f>
        <v>1139.2242287739011</v>
      </c>
      <c r="K29" s="137">
        <f>SUM(K25:K27)</f>
        <v>1299.1504644684617</v>
      </c>
      <c r="L29" s="117">
        <f>(M29/K29)*1000</f>
        <v>9895.9657267009097</v>
      </c>
      <c r="M29" s="117">
        <f>SUM(M25:M27)</f>
        <v>12856.348470207464</v>
      </c>
      <c r="N29" s="137">
        <f>SUM(N25:N27)</f>
        <v>906.23587164560104</v>
      </c>
      <c r="O29" s="117">
        <f>(P29/N29)*1000</f>
        <v>13503.29642144774</v>
      </c>
      <c r="P29" s="117">
        <f>SUM(P25:P27)</f>
        <v>12237.171602579618</v>
      </c>
      <c r="Q29" s="137">
        <f>SUM(Q25:Q27)</f>
        <v>4133.9500000000007</v>
      </c>
      <c r="R29" s="117">
        <f>(S29/Q29)*1000</f>
        <v>773.01188935521691</v>
      </c>
      <c r="S29" s="17">
        <f>SUM(S25:S27)</f>
        <v>3195.5924999999997</v>
      </c>
    </row>
    <row r="30" spans="1:19" ht="12.95" customHeight="1" x14ac:dyDescent="0.3">
      <c r="A30" s="139"/>
      <c r="B30" s="140"/>
      <c r="C30" s="141"/>
      <c r="D30" s="141"/>
      <c r="E30" s="140"/>
      <c r="F30" s="141"/>
      <c r="G30" s="141"/>
      <c r="H30" s="140"/>
      <c r="I30" s="141"/>
      <c r="J30" s="141"/>
      <c r="K30" s="172"/>
      <c r="L30" s="173"/>
      <c r="M30" s="173"/>
      <c r="N30" s="140"/>
      <c r="O30" s="153"/>
      <c r="P30" s="153"/>
      <c r="Q30" s="140"/>
      <c r="R30" s="153"/>
      <c r="S30" s="142"/>
    </row>
    <row r="31" spans="1:19" ht="17.25" customHeight="1" x14ac:dyDescent="0.3">
      <c r="A31" s="3" t="s">
        <v>58</v>
      </c>
      <c r="B31" s="137">
        <v>126187.80311280477</v>
      </c>
      <c r="C31" s="138">
        <v>1961.5103919557823</v>
      </c>
      <c r="D31" s="138">
        <v>247518.68714383678</v>
      </c>
      <c r="E31" s="137"/>
      <c r="F31" s="138"/>
      <c r="G31" s="138"/>
      <c r="H31" s="137">
        <v>1724.1961711607794</v>
      </c>
      <c r="I31" s="138">
        <v>720.47420387589636</v>
      </c>
      <c r="J31" s="138">
        <v>1242.2388637429312</v>
      </c>
      <c r="K31" s="174">
        <v>1177.4448466258093</v>
      </c>
      <c r="L31" s="175">
        <v>10497.955503830713</v>
      </c>
      <c r="M31" s="175">
        <v>12360.763608092526</v>
      </c>
      <c r="N31" s="137">
        <v>864.55646503924027</v>
      </c>
      <c r="O31" s="117">
        <v>14733.635344511236</v>
      </c>
      <c r="P31" s="117">
        <v>12738.059690627844</v>
      </c>
      <c r="Q31" s="137">
        <v>3937.6494099137926</v>
      </c>
      <c r="R31" s="117">
        <v>814.84989390984401</v>
      </c>
      <c r="S31" s="17">
        <v>3208.5932039224135</v>
      </c>
    </row>
    <row r="32" spans="1:19" ht="12.95" customHeight="1" x14ac:dyDescent="0.3">
      <c r="A32" s="139"/>
      <c r="B32" s="154"/>
      <c r="C32" s="155"/>
      <c r="D32" s="156"/>
      <c r="E32" s="157"/>
      <c r="F32" s="155"/>
      <c r="G32" s="155"/>
      <c r="H32" s="157"/>
      <c r="I32" s="155"/>
      <c r="J32" s="155"/>
      <c r="K32" s="176"/>
      <c r="L32" s="177"/>
      <c r="M32" s="177"/>
      <c r="N32" s="157"/>
      <c r="O32" s="158"/>
      <c r="P32" s="158"/>
      <c r="Q32" s="157"/>
      <c r="R32" s="158"/>
      <c r="S32" s="159"/>
    </row>
    <row r="33" spans="1:19" ht="17.25" customHeight="1" x14ac:dyDescent="0.3">
      <c r="A33" s="136" t="s">
        <v>20</v>
      </c>
      <c r="B33" s="143">
        <f t="shared" ref="B33:M33" si="1">((B29-B31)/B31)*100</f>
        <v>-2.2278151709885878</v>
      </c>
      <c r="C33" s="144">
        <f t="shared" si="1"/>
        <v>7.2813135779931271</v>
      </c>
      <c r="D33" s="145">
        <f t="shared" si="1"/>
        <v>4.8912841984667734</v>
      </c>
      <c r="E33" s="144"/>
      <c r="F33" s="144"/>
      <c r="G33" s="145"/>
      <c r="H33" s="143">
        <f t="shared" si="1"/>
        <v>1.8386854402881556</v>
      </c>
      <c r="I33" s="144">
        <f t="shared" si="1"/>
        <v>-9.9484243734795452</v>
      </c>
      <c r="J33" s="145">
        <f t="shared" si="1"/>
        <v>-8.2926591636846378</v>
      </c>
      <c r="K33" s="143">
        <f t="shared" si="1"/>
        <v>10.336417726182489</v>
      </c>
      <c r="L33" s="144">
        <f t="shared" si="1"/>
        <v>-5.7343525309298284</v>
      </c>
      <c r="M33" s="145">
        <f t="shared" si="1"/>
        <v>4.0093385637638219</v>
      </c>
      <c r="N33" s="143">
        <f t="shared" ref="N33:S33" si="2">((N29-N31)/N31)*100</f>
        <v>4.820900460731508</v>
      </c>
      <c r="O33" s="144">
        <f t="shared" si="2"/>
        <v>-8.3505454987511847</v>
      </c>
      <c r="P33" s="144">
        <f t="shared" si="2"/>
        <v>-3.9322165244425729</v>
      </c>
      <c r="Q33" s="143">
        <f t="shared" si="2"/>
        <v>4.9852226455708184</v>
      </c>
      <c r="R33" s="144">
        <f t="shared" si="2"/>
        <v>-5.1344431492625455</v>
      </c>
      <c r="S33" s="145">
        <f t="shared" si="2"/>
        <v>-0.40518392629270639</v>
      </c>
    </row>
    <row r="34" spans="1:19" ht="12.95" customHeight="1" thickBot="1" x14ac:dyDescent="0.3">
      <c r="A34" s="139"/>
      <c r="B34" s="160"/>
      <c r="C34" s="161"/>
      <c r="D34" s="162"/>
      <c r="E34" s="163"/>
      <c r="F34" s="161"/>
      <c r="G34" s="161"/>
      <c r="H34" s="163"/>
      <c r="I34" s="161"/>
      <c r="J34" s="161"/>
      <c r="K34" s="182"/>
      <c r="L34" s="183"/>
      <c r="M34" s="183"/>
      <c r="N34" s="164"/>
      <c r="O34" s="165"/>
      <c r="P34" s="165"/>
      <c r="Q34" s="164"/>
      <c r="R34" s="165"/>
      <c r="S34" s="166"/>
    </row>
    <row r="35" spans="1:19" ht="14.1" customHeight="1" thickTop="1" x14ac:dyDescent="0.2">
      <c r="A35" s="5"/>
      <c r="B35" s="5"/>
      <c r="C35" s="5"/>
      <c r="D35" s="5"/>
      <c r="E35" s="5"/>
      <c r="F35" s="5"/>
      <c r="G35" s="5"/>
      <c r="H35" s="5"/>
      <c r="I35" s="5"/>
      <c r="J35" s="5"/>
      <c r="K35" s="13"/>
      <c r="L35" s="13"/>
      <c r="M35" s="13"/>
      <c r="N35" s="5"/>
      <c r="O35" s="5"/>
      <c r="P35" s="5"/>
      <c r="Q35" s="2"/>
    </row>
    <row r="36" spans="1:19" ht="15.75" x14ac:dyDescent="0.25">
      <c r="A36" s="1" t="s">
        <v>19</v>
      </c>
    </row>
  </sheetData>
  <pageMargins left="0.42" right="0.67" top="0.46" bottom="0.15748031496062992" header="0.85" footer="0.15748031496062992"/>
  <pageSetup paperSize="9" scale="60" orientation="landscape" horizontalDpi="300" verticalDpi="300" r:id="rId1"/>
  <headerFooter alignWithMargins="0"/>
  <ignoredErrors>
    <ignoredError sqref="F29 C29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60"/>
  <sheetViews>
    <sheetView zoomScale="70" zoomScaleNormal="70" workbookViewId="0">
      <pane xSplit="1" ySplit="9" topLeftCell="B10" activePane="bottomRight" state="frozen"/>
      <selection pane="topRight" activeCell="B1" sqref="B1"/>
      <selection pane="bottomLeft" activeCell="A10" sqref="A10"/>
      <selection pane="bottomRight" activeCell="D12" sqref="D12"/>
    </sheetView>
  </sheetViews>
  <sheetFormatPr baseColWidth="10" defaultRowHeight="15" x14ac:dyDescent="0.25"/>
  <cols>
    <col min="1" max="1" width="62.7109375" customWidth="1"/>
    <col min="2" max="2" width="18.7109375" customWidth="1"/>
    <col min="3" max="3" width="13.140625" customWidth="1"/>
    <col min="4" max="4" width="19.85546875" customWidth="1"/>
    <col min="5" max="5" width="15.42578125" customWidth="1"/>
    <col min="6" max="6" width="13.85546875" bestFit="1" customWidth="1"/>
    <col min="7" max="7" width="13.5703125" customWidth="1"/>
    <col min="8" max="8" width="17.140625" customWidth="1"/>
    <col min="9" max="9" width="11.140625" customWidth="1"/>
    <col min="10" max="10" width="17.42578125" customWidth="1"/>
    <col min="11" max="11" width="15.85546875" customWidth="1"/>
    <col min="12" max="12" width="13.42578125" customWidth="1"/>
    <col min="13" max="13" width="18.140625" customWidth="1"/>
    <col min="14" max="14" width="13.42578125" customWidth="1"/>
    <col min="15" max="15" width="13.7109375" customWidth="1"/>
    <col min="16" max="16" width="18.140625" customWidth="1"/>
    <col min="17" max="17" width="13.42578125" customWidth="1"/>
    <col min="18" max="18" width="13.28515625" customWidth="1"/>
    <col min="19" max="19" width="13.5703125" customWidth="1"/>
    <col min="257" max="257" width="72.7109375" customWidth="1"/>
    <col min="258" max="258" width="18.7109375" customWidth="1"/>
    <col min="259" max="259" width="11.140625" customWidth="1"/>
    <col min="260" max="260" width="17.85546875" customWidth="1"/>
    <col min="261" max="261" width="15.42578125" customWidth="1"/>
    <col min="262" max="262" width="11.7109375" customWidth="1"/>
    <col min="263" max="263" width="13.5703125" customWidth="1"/>
    <col min="264" max="264" width="14.85546875" customWidth="1"/>
    <col min="265" max="265" width="11.140625" customWidth="1"/>
    <col min="266" max="266" width="14.85546875" customWidth="1"/>
    <col min="267" max="267" width="15.85546875" customWidth="1"/>
    <col min="268" max="268" width="13.42578125" customWidth="1"/>
    <col min="269" max="269" width="18.140625" customWidth="1"/>
    <col min="270" max="270" width="13.42578125" customWidth="1"/>
    <col min="271" max="271" width="13.7109375" customWidth="1"/>
    <col min="272" max="272" width="18.140625" customWidth="1"/>
    <col min="273" max="273" width="13.42578125" customWidth="1"/>
    <col min="274" max="274" width="13.28515625" customWidth="1"/>
    <col min="275" max="275" width="13.5703125" customWidth="1"/>
    <col min="513" max="513" width="72.7109375" customWidth="1"/>
    <col min="514" max="514" width="18.7109375" customWidth="1"/>
    <col min="515" max="515" width="11.140625" customWidth="1"/>
    <col min="516" max="516" width="17.85546875" customWidth="1"/>
    <col min="517" max="517" width="15.42578125" customWidth="1"/>
    <col min="518" max="518" width="11.7109375" customWidth="1"/>
    <col min="519" max="519" width="13.5703125" customWidth="1"/>
    <col min="520" max="520" width="14.85546875" customWidth="1"/>
    <col min="521" max="521" width="11.140625" customWidth="1"/>
    <col min="522" max="522" width="14.85546875" customWidth="1"/>
    <col min="523" max="523" width="15.85546875" customWidth="1"/>
    <col min="524" max="524" width="13.42578125" customWidth="1"/>
    <col min="525" max="525" width="18.140625" customWidth="1"/>
    <col min="526" max="526" width="13.42578125" customWidth="1"/>
    <col min="527" max="527" width="13.7109375" customWidth="1"/>
    <col min="528" max="528" width="18.140625" customWidth="1"/>
    <col min="529" max="529" width="13.42578125" customWidth="1"/>
    <col min="530" max="530" width="13.28515625" customWidth="1"/>
    <col min="531" max="531" width="13.5703125" customWidth="1"/>
    <col min="769" max="769" width="72.7109375" customWidth="1"/>
    <col min="770" max="770" width="18.7109375" customWidth="1"/>
    <col min="771" max="771" width="11.140625" customWidth="1"/>
    <col min="772" max="772" width="17.85546875" customWidth="1"/>
    <col min="773" max="773" width="15.42578125" customWidth="1"/>
    <col min="774" max="774" width="11.7109375" customWidth="1"/>
    <col min="775" max="775" width="13.5703125" customWidth="1"/>
    <col min="776" max="776" width="14.85546875" customWidth="1"/>
    <col min="777" max="777" width="11.140625" customWidth="1"/>
    <col min="778" max="778" width="14.85546875" customWidth="1"/>
    <col min="779" max="779" width="15.85546875" customWidth="1"/>
    <col min="780" max="780" width="13.42578125" customWidth="1"/>
    <col min="781" max="781" width="18.140625" customWidth="1"/>
    <col min="782" max="782" width="13.42578125" customWidth="1"/>
    <col min="783" max="783" width="13.7109375" customWidth="1"/>
    <col min="784" max="784" width="18.140625" customWidth="1"/>
    <col min="785" max="785" width="13.42578125" customWidth="1"/>
    <col min="786" max="786" width="13.28515625" customWidth="1"/>
    <col min="787" max="787" width="13.5703125" customWidth="1"/>
    <col min="1025" max="1025" width="72.7109375" customWidth="1"/>
    <col min="1026" max="1026" width="18.7109375" customWidth="1"/>
    <col min="1027" max="1027" width="11.140625" customWidth="1"/>
    <col min="1028" max="1028" width="17.85546875" customWidth="1"/>
    <col min="1029" max="1029" width="15.42578125" customWidth="1"/>
    <col min="1030" max="1030" width="11.7109375" customWidth="1"/>
    <col min="1031" max="1031" width="13.5703125" customWidth="1"/>
    <col min="1032" max="1032" width="14.85546875" customWidth="1"/>
    <col min="1033" max="1033" width="11.140625" customWidth="1"/>
    <col min="1034" max="1034" width="14.85546875" customWidth="1"/>
    <col min="1035" max="1035" width="15.85546875" customWidth="1"/>
    <col min="1036" max="1036" width="13.42578125" customWidth="1"/>
    <col min="1037" max="1037" width="18.140625" customWidth="1"/>
    <col min="1038" max="1038" width="13.42578125" customWidth="1"/>
    <col min="1039" max="1039" width="13.7109375" customWidth="1"/>
    <col min="1040" max="1040" width="18.140625" customWidth="1"/>
    <col min="1041" max="1041" width="13.42578125" customWidth="1"/>
    <col min="1042" max="1042" width="13.28515625" customWidth="1"/>
    <col min="1043" max="1043" width="13.5703125" customWidth="1"/>
    <col min="1281" max="1281" width="72.7109375" customWidth="1"/>
    <col min="1282" max="1282" width="18.7109375" customWidth="1"/>
    <col min="1283" max="1283" width="11.140625" customWidth="1"/>
    <col min="1284" max="1284" width="17.85546875" customWidth="1"/>
    <col min="1285" max="1285" width="15.42578125" customWidth="1"/>
    <col min="1286" max="1286" width="11.7109375" customWidth="1"/>
    <col min="1287" max="1287" width="13.5703125" customWidth="1"/>
    <col min="1288" max="1288" width="14.85546875" customWidth="1"/>
    <col min="1289" max="1289" width="11.140625" customWidth="1"/>
    <col min="1290" max="1290" width="14.85546875" customWidth="1"/>
    <col min="1291" max="1291" width="15.85546875" customWidth="1"/>
    <col min="1292" max="1292" width="13.42578125" customWidth="1"/>
    <col min="1293" max="1293" width="18.140625" customWidth="1"/>
    <col min="1294" max="1294" width="13.42578125" customWidth="1"/>
    <col min="1295" max="1295" width="13.7109375" customWidth="1"/>
    <col min="1296" max="1296" width="18.140625" customWidth="1"/>
    <col min="1297" max="1297" width="13.42578125" customWidth="1"/>
    <col min="1298" max="1298" width="13.28515625" customWidth="1"/>
    <col min="1299" max="1299" width="13.5703125" customWidth="1"/>
    <col min="1537" max="1537" width="72.7109375" customWidth="1"/>
    <col min="1538" max="1538" width="18.7109375" customWidth="1"/>
    <col min="1539" max="1539" width="11.140625" customWidth="1"/>
    <col min="1540" max="1540" width="17.85546875" customWidth="1"/>
    <col min="1541" max="1541" width="15.42578125" customWidth="1"/>
    <col min="1542" max="1542" width="11.7109375" customWidth="1"/>
    <col min="1543" max="1543" width="13.5703125" customWidth="1"/>
    <col min="1544" max="1544" width="14.85546875" customWidth="1"/>
    <col min="1545" max="1545" width="11.140625" customWidth="1"/>
    <col min="1546" max="1546" width="14.85546875" customWidth="1"/>
    <col min="1547" max="1547" width="15.85546875" customWidth="1"/>
    <col min="1548" max="1548" width="13.42578125" customWidth="1"/>
    <col min="1549" max="1549" width="18.140625" customWidth="1"/>
    <col min="1550" max="1550" width="13.42578125" customWidth="1"/>
    <col min="1551" max="1551" width="13.7109375" customWidth="1"/>
    <col min="1552" max="1552" width="18.140625" customWidth="1"/>
    <col min="1553" max="1553" width="13.42578125" customWidth="1"/>
    <col min="1554" max="1554" width="13.28515625" customWidth="1"/>
    <col min="1555" max="1555" width="13.5703125" customWidth="1"/>
    <col min="1793" max="1793" width="72.7109375" customWidth="1"/>
    <col min="1794" max="1794" width="18.7109375" customWidth="1"/>
    <col min="1795" max="1795" width="11.140625" customWidth="1"/>
    <col min="1796" max="1796" width="17.85546875" customWidth="1"/>
    <col min="1797" max="1797" width="15.42578125" customWidth="1"/>
    <col min="1798" max="1798" width="11.7109375" customWidth="1"/>
    <col min="1799" max="1799" width="13.5703125" customWidth="1"/>
    <col min="1800" max="1800" width="14.85546875" customWidth="1"/>
    <col min="1801" max="1801" width="11.140625" customWidth="1"/>
    <col min="1802" max="1802" width="14.85546875" customWidth="1"/>
    <col min="1803" max="1803" width="15.85546875" customWidth="1"/>
    <col min="1804" max="1804" width="13.42578125" customWidth="1"/>
    <col min="1805" max="1805" width="18.140625" customWidth="1"/>
    <col min="1806" max="1806" width="13.42578125" customWidth="1"/>
    <col min="1807" max="1807" width="13.7109375" customWidth="1"/>
    <col min="1808" max="1808" width="18.140625" customWidth="1"/>
    <col min="1809" max="1809" width="13.42578125" customWidth="1"/>
    <col min="1810" max="1810" width="13.28515625" customWidth="1"/>
    <col min="1811" max="1811" width="13.5703125" customWidth="1"/>
    <col min="2049" max="2049" width="72.7109375" customWidth="1"/>
    <col min="2050" max="2050" width="18.7109375" customWidth="1"/>
    <col min="2051" max="2051" width="11.140625" customWidth="1"/>
    <col min="2052" max="2052" width="17.85546875" customWidth="1"/>
    <col min="2053" max="2053" width="15.42578125" customWidth="1"/>
    <col min="2054" max="2054" width="11.7109375" customWidth="1"/>
    <col min="2055" max="2055" width="13.5703125" customWidth="1"/>
    <col min="2056" max="2056" width="14.85546875" customWidth="1"/>
    <col min="2057" max="2057" width="11.140625" customWidth="1"/>
    <col min="2058" max="2058" width="14.85546875" customWidth="1"/>
    <col min="2059" max="2059" width="15.85546875" customWidth="1"/>
    <col min="2060" max="2060" width="13.42578125" customWidth="1"/>
    <col min="2061" max="2061" width="18.140625" customWidth="1"/>
    <col min="2062" max="2062" width="13.42578125" customWidth="1"/>
    <col min="2063" max="2063" width="13.7109375" customWidth="1"/>
    <col min="2064" max="2064" width="18.140625" customWidth="1"/>
    <col min="2065" max="2065" width="13.42578125" customWidth="1"/>
    <col min="2066" max="2066" width="13.28515625" customWidth="1"/>
    <col min="2067" max="2067" width="13.5703125" customWidth="1"/>
    <col min="2305" max="2305" width="72.7109375" customWidth="1"/>
    <col min="2306" max="2306" width="18.7109375" customWidth="1"/>
    <col min="2307" max="2307" width="11.140625" customWidth="1"/>
    <col min="2308" max="2308" width="17.85546875" customWidth="1"/>
    <col min="2309" max="2309" width="15.42578125" customWidth="1"/>
    <col min="2310" max="2310" width="11.7109375" customWidth="1"/>
    <col min="2311" max="2311" width="13.5703125" customWidth="1"/>
    <col min="2312" max="2312" width="14.85546875" customWidth="1"/>
    <col min="2313" max="2313" width="11.140625" customWidth="1"/>
    <col min="2314" max="2314" width="14.85546875" customWidth="1"/>
    <col min="2315" max="2315" width="15.85546875" customWidth="1"/>
    <col min="2316" max="2316" width="13.42578125" customWidth="1"/>
    <col min="2317" max="2317" width="18.140625" customWidth="1"/>
    <col min="2318" max="2318" width="13.42578125" customWidth="1"/>
    <col min="2319" max="2319" width="13.7109375" customWidth="1"/>
    <col min="2320" max="2320" width="18.140625" customWidth="1"/>
    <col min="2321" max="2321" width="13.42578125" customWidth="1"/>
    <col min="2322" max="2322" width="13.28515625" customWidth="1"/>
    <col min="2323" max="2323" width="13.5703125" customWidth="1"/>
    <col min="2561" max="2561" width="72.7109375" customWidth="1"/>
    <col min="2562" max="2562" width="18.7109375" customWidth="1"/>
    <col min="2563" max="2563" width="11.140625" customWidth="1"/>
    <col min="2564" max="2564" width="17.85546875" customWidth="1"/>
    <col min="2565" max="2565" width="15.42578125" customWidth="1"/>
    <col min="2566" max="2566" width="11.7109375" customWidth="1"/>
    <col min="2567" max="2567" width="13.5703125" customWidth="1"/>
    <col min="2568" max="2568" width="14.85546875" customWidth="1"/>
    <col min="2569" max="2569" width="11.140625" customWidth="1"/>
    <col min="2570" max="2570" width="14.85546875" customWidth="1"/>
    <col min="2571" max="2571" width="15.85546875" customWidth="1"/>
    <col min="2572" max="2572" width="13.42578125" customWidth="1"/>
    <col min="2573" max="2573" width="18.140625" customWidth="1"/>
    <col min="2574" max="2574" width="13.42578125" customWidth="1"/>
    <col min="2575" max="2575" width="13.7109375" customWidth="1"/>
    <col min="2576" max="2576" width="18.140625" customWidth="1"/>
    <col min="2577" max="2577" width="13.42578125" customWidth="1"/>
    <col min="2578" max="2578" width="13.28515625" customWidth="1"/>
    <col min="2579" max="2579" width="13.5703125" customWidth="1"/>
    <col min="2817" max="2817" width="72.7109375" customWidth="1"/>
    <col min="2818" max="2818" width="18.7109375" customWidth="1"/>
    <col min="2819" max="2819" width="11.140625" customWidth="1"/>
    <col min="2820" max="2820" width="17.85546875" customWidth="1"/>
    <col min="2821" max="2821" width="15.42578125" customWidth="1"/>
    <col min="2822" max="2822" width="11.7109375" customWidth="1"/>
    <col min="2823" max="2823" width="13.5703125" customWidth="1"/>
    <col min="2824" max="2824" width="14.85546875" customWidth="1"/>
    <col min="2825" max="2825" width="11.140625" customWidth="1"/>
    <col min="2826" max="2826" width="14.85546875" customWidth="1"/>
    <col min="2827" max="2827" width="15.85546875" customWidth="1"/>
    <col min="2828" max="2828" width="13.42578125" customWidth="1"/>
    <col min="2829" max="2829" width="18.140625" customWidth="1"/>
    <col min="2830" max="2830" width="13.42578125" customWidth="1"/>
    <col min="2831" max="2831" width="13.7109375" customWidth="1"/>
    <col min="2832" max="2832" width="18.140625" customWidth="1"/>
    <col min="2833" max="2833" width="13.42578125" customWidth="1"/>
    <col min="2834" max="2834" width="13.28515625" customWidth="1"/>
    <col min="2835" max="2835" width="13.5703125" customWidth="1"/>
    <col min="3073" max="3073" width="72.7109375" customWidth="1"/>
    <col min="3074" max="3074" width="18.7109375" customWidth="1"/>
    <col min="3075" max="3075" width="11.140625" customWidth="1"/>
    <col min="3076" max="3076" width="17.85546875" customWidth="1"/>
    <col min="3077" max="3077" width="15.42578125" customWidth="1"/>
    <col min="3078" max="3078" width="11.7109375" customWidth="1"/>
    <col min="3079" max="3079" width="13.5703125" customWidth="1"/>
    <col min="3080" max="3080" width="14.85546875" customWidth="1"/>
    <col min="3081" max="3081" width="11.140625" customWidth="1"/>
    <col min="3082" max="3082" width="14.85546875" customWidth="1"/>
    <col min="3083" max="3083" width="15.85546875" customWidth="1"/>
    <col min="3084" max="3084" width="13.42578125" customWidth="1"/>
    <col min="3085" max="3085" width="18.140625" customWidth="1"/>
    <col min="3086" max="3086" width="13.42578125" customWidth="1"/>
    <col min="3087" max="3087" width="13.7109375" customWidth="1"/>
    <col min="3088" max="3088" width="18.140625" customWidth="1"/>
    <col min="3089" max="3089" width="13.42578125" customWidth="1"/>
    <col min="3090" max="3090" width="13.28515625" customWidth="1"/>
    <col min="3091" max="3091" width="13.5703125" customWidth="1"/>
    <col min="3329" max="3329" width="72.7109375" customWidth="1"/>
    <col min="3330" max="3330" width="18.7109375" customWidth="1"/>
    <col min="3331" max="3331" width="11.140625" customWidth="1"/>
    <col min="3332" max="3332" width="17.85546875" customWidth="1"/>
    <col min="3333" max="3333" width="15.42578125" customWidth="1"/>
    <col min="3334" max="3334" width="11.7109375" customWidth="1"/>
    <col min="3335" max="3335" width="13.5703125" customWidth="1"/>
    <col min="3336" max="3336" width="14.85546875" customWidth="1"/>
    <col min="3337" max="3337" width="11.140625" customWidth="1"/>
    <col min="3338" max="3338" width="14.85546875" customWidth="1"/>
    <col min="3339" max="3339" width="15.85546875" customWidth="1"/>
    <col min="3340" max="3340" width="13.42578125" customWidth="1"/>
    <col min="3341" max="3341" width="18.140625" customWidth="1"/>
    <col min="3342" max="3342" width="13.42578125" customWidth="1"/>
    <col min="3343" max="3343" width="13.7109375" customWidth="1"/>
    <col min="3344" max="3344" width="18.140625" customWidth="1"/>
    <col min="3345" max="3345" width="13.42578125" customWidth="1"/>
    <col min="3346" max="3346" width="13.28515625" customWidth="1"/>
    <col min="3347" max="3347" width="13.5703125" customWidth="1"/>
    <col min="3585" max="3585" width="72.7109375" customWidth="1"/>
    <col min="3586" max="3586" width="18.7109375" customWidth="1"/>
    <col min="3587" max="3587" width="11.140625" customWidth="1"/>
    <col min="3588" max="3588" width="17.85546875" customWidth="1"/>
    <col min="3589" max="3589" width="15.42578125" customWidth="1"/>
    <col min="3590" max="3590" width="11.7109375" customWidth="1"/>
    <col min="3591" max="3591" width="13.5703125" customWidth="1"/>
    <col min="3592" max="3592" width="14.85546875" customWidth="1"/>
    <col min="3593" max="3593" width="11.140625" customWidth="1"/>
    <col min="3594" max="3594" width="14.85546875" customWidth="1"/>
    <col min="3595" max="3595" width="15.85546875" customWidth="1"/>
    <col min="3596" max="3596" width="13.42578125" customWidth="1"/>
    <col min="3597" max="3597" width="18.140625" customWidth="1"/>
    <col min="3598" max="3598" width="13.42578125" customWidth="1"/>
    <col min="3599" max="3599" width="13.7109375" customWidth="1"/>
    <col min="3600" max="3600" width="18.140625" customWidth="1"/>
    <col min="3601" max="3601" width="13.42578125" customWidth="1"/>
    <col min="3602" max="3602" width="13.28515625" customWidth="1"/>
    <col min="3603" max="3603" width="13.5703125" customWidth="1"/>
    <col min="3841" max="3841" width="72.7109375" customWidth="1"/>
    <col min="3842" max="3842" width="18.7109375" customWidth="1"/>
    <col min="3843" max="3843" width="11.140625" customWidth="1"/>
    <col min="3844" max="3844" width="17.85546875" customWidth="1"/>
    <col min="3845" max="3845" width="15.42578125" customWidth="1"/>
    <col min="3846" max="3846" width="11.7109375" customWidth="1"/>
    <col min="3847" max="3847" width="13.5703125" customWidth="1"/>
    <col min="3848" max="3848" width="14.85546875" customWidth="1"/>
    <col min="3849" max="3849" width="11.140625" customWidth="1"/>
    <col min="3850" max="3850" width="14.85546875" customWidth="1"/>
    <col min="3851" max="3851" width="15.85546875" customWidth="1"/>
    <col min="3852" max="3852" width="13.42578125" customWidth="1"/>
    <col min="3853" max="3853" width="18.140625" customWidth="1"/>
    <col min="3854" max="3854" width="13.42578125" customWidth="1"/>
    <col min="3855" max="3855" width="13.7109375" customWidth="1"/>
    <col min="3856" max="3856" width="18.140625" customWidth="1"/>
    <col min="3857" max="3857" width="13.42578125" customWidth="1"/>
    <col min="3858" max="3858" width="13.28515625" customWidth="1"/>
    <col min="3859" max="3859" width="13.5703125" customWidth="1"/>
    <col min="4097" max="4097" width="72.7109375" customWidth="1"/>
    <col min="4098" max="4098" width="18.7109375" customWidth="1"/>
    <col min="4099" max="4099" width="11.140625" customWidth="1"/>
    <col min="4100" max="4100" width="17.85546875" customWidth="1"/>
    <col min="4101" max="4101" width="15.42578125" customWidth="1"/>
    <col min="4102" max="4102" width="11.7109375" customWidth="1"/>
    <col min="4103" max="4103" width="13.5703125" customWidth="1"/>
    <col min="4104" max="4104" width="14.85546875" customWidth="1"/>
    <col min="4105" max="4105" width="11.140625" customWidth="1"/>
    <col min="4106" max="4106" width="14.85546875" customWidth="1"/>
    <col min="4107" max="4107" width="15.85546875" customWidth="1"/>
    <col min="4108" max="4108" width="13.42578125" customWidth="1"/>
    <col min="4109" max="4109" width="18.140625" customWidth="1"/>
    <col min="4110" max="4110" width="13.42578125" customWidth="1"/>
    <col min="4111" max="4111" width="13.7109375" customWidth="1"/>
    <col min="4112" max="4112" width="18.140625" customWidth="1"/>
    <col min="4113" max="4113" width="13.42578125" customWidth="1"/>
    <col min="4114" max="4114" width="13.28515625" customWidth="1"/>
    <col min="4115" max="4115" width="13.5703125" customWidth="1"/>
    <col min="4353" max="4353" width="72.7109375" customWidth="1"/>
    <col min="4354" max="4354" width="18.7109375" customWidth="1"/>
    <col min="4355" max="4355" width="11.140625" customWidth="1"/>
    <col min="4356" max="4356" width="17.85546875" customWidth="1"/>
    <col min="4357" max="4357" width="15.42578125" customWidth="1"/>
    <col min="4358" max="4358" width="11.7109375" customWidth="1"/>
    <col min="4359" max="4359" width="13.5703125" customWidth="1"/>
    <col min="4360" max="4360" width="14.85546875" customWidth="1"/>
    <col min="4361" max="4361" width="11.140625" customWidth="1"/>
    <col min="4362" max="4362" width="14.85546875" customWidth="1"/>
    <col min="4363" max="4363" width="15.85546875" customWidth="1"/>
    <col min="4364" max="4364" width="13.42578125" customWidth="1"/>
    <col min="4365" max="4365" width="18.140625" customWidth="1"/>
    <col min="4366" max="4366" width="13.42578125" customWidth="1"/>
    <col min="4367" max="4367" width="13.7109375" customWidth="1"/>
    <col min="4368" max="4368" width="18.140625" customWidth="1"/>
    <col min="4369" max="4369" width="13.42578125" customWidth="1"/>
    <col min="4370" max="4370" width="13.28515625" customWidth="1"/>
    <col min="4371" max="4371" width="13.5703125" customWidth="1"/>
    <col min="4609" max="4609" width="72.7109375" customWidth="1"/>
    <col min="4610" max="4610" width="18.7109375" customWidth="1"/>
    <col min="4611" max="4611" width="11.140625" customWidth="1"/>
    <col min="4612" max="4612" width="17.85546875" customWidth="1"/>
    <col min="4613" max="4613" width="15.42578125" customWidth="1"/>
    <col min="4614" max="4614" width="11.7109375" customWidth="1"/>
    <col min="4615" max="4615" width="13.5703125" customWidth="1"/>
    <col min="4616" max="4616" width="14.85546875" customWidth="1"/>
    <col min="4617" max="4617" width="11.140625" customWidth="1"/>
    <col min="4618" max="4618" width="14.85546875" customWidth="1"/>
    <col min="4619" max="4619" width="15.85546875" customWidth="1"/>
    <col min="4620" max="4620" width="13.42578125" customWidth="1"/>
    <col min="4621" max="4621" width="18.140625" customWidth="1"/>
    <col min="4622" max="4622" width="13.42578125" customWidth="1"/>
    <col min="4623" max="4623" width="13.7109375" customWidth="1"/>
    <col min="4624" max="4624" width="18.140625" customWidth="1"/>
    <col min="4625" max="4625" width="13.42578125" customWidth="1"/>
    <col min="4626" max="4626" width="13.28515625" customWidth="1"/>
    <col min="4627" max="4627" width="13.5703125" customWidth="1"/>
    <col min="4865" max="4865" width="72.7109375" customWidth="1"/>
    <col min="4866" max="4866" width="18.7109375" customWidth="1"/>
    <col min="4867" max="4867" width="11.140625" customWidth="1"/>
    <col min="4868" max="4868" width="17.85546875" customWidth="1"/>
    <col min="4869" max="4869" width="15.42578125" customWidth="1"/>
    <col min="4870" max="4870" width="11.7109375" customWidth="1"/>
    <col min="4871" max="4871" width="13.5703125" customWidth="1"/>
    <col min="4872" max="4872" width="14.85546875" customWidth="1"/>
    <col min="4873" max="4873" width="11.140625" customWidth="1"/>
    <col min="4874" max="4874" width="14.85546875" customWidth="1"/>
    <col min="4875" max="4875" width="15.85546875" customWidth="1"/>
    <col min="4876" max="4876" width="13.42578125" customWidth="1"/>
    <col min="4877" max="4877" width="18.140625" customWidth="1"/>
    <col min="4878" max="4878" width="13.42578125" customWidth="1"/>
    <col min="4879" max="4879" width="13.7109375" customWidth="1"/>
    <col min="4880" max="4880" width="18.140625" customWidth="1"/>
    <col min="4881" max="4881" width="13.42578125" customWidth="1"/>
    <col min="4882" max="4882" width="13.28515625" customWidth="1"/>
    <col min="4883" max="4883" width="13.5703125" customWidth="1"/>
    <col min="5121" max="5121" width="72.7109375" customWidth="1"/>
    <col min="5122" max="5122" width="18.7109375" customWidth="1"/>
    <col min="5123" max="5123" width="11.140625" customWidth="1"/>
    <col min="5124" max="5124" width="17.85546875" customWidth="1"/>
    <col min="5125" max="5125" width="15.42578125" customWidth="1"/>
    <col min="5126" max="5126" width="11.7109375" customWidth="1"/>
    <col min="5127" max="5127" width="13.5703125" customWidth="1"/>
    <col min="5128" max="5128" width="14.85546875" customWidth="1"/>
    <col min="5129" max="5129" width="11.140625" customWidth="1"/>
    <col min="5130" max="5130" width="14.85546875" customWidth="1"/>
    <col min="5131" max="5131" width="15.85546875" customWidth="1"/>
    <col min="5132" max="5132" width="13.42578125" customWidth="1"/>
    <col min="5133" max="5133" width="18.140625" customWidth="1"/>
    <col min="5134" max="5134" width="13.42578125" customWidth="1"/>
    <col min="5135" max="5135" width="13.7109375" customWidth="1"/>
    <col min="5136" max="5136" width="18.140625" customWidth="1"/>
    <col min="5137" max="5137" width="13.42578125" customWidth="1"/>
    <col min="5138" max="5138" width="13.28515625" customWidth="1"/>
    <col min="5139" max="5139" width="13.5703125" customWidth="1"/>
    <col min="5377" max="5377" width="72.7109375" customWidth="1"/>
    <col min="5378" max="5378" width="18.7109375" customWidth="1"/>
    <col min="5379" max="5379" width="11.140625" customWidth="1"/>
    <col min="5380" max="5380" width="17.85546875" customWidth="1"/>
    <col min="5381" max="5381" width="15.42578125" customWidth="1"/>
    <col min="5382" max="5382" width="11.7109375" customWidth="1"/>
    <col min="5383" max="5383" width="13.5703125" customWidth="1"/>
    <col min="5384" max="5384" width="14.85546875" customWidth="1"/>
    <col min="5385" max="5385" width="11.140625" customWidth="1"/>
    <col min="5386" max="5386" width="14.85546875" customWidth="1"/>
    <col min="5387" max="5387" width="15.85546875" customWidth="1"/>
    <col min="5388" max="5388" width="13.42578125" customWidth="1"/>
    <col min="5389" max="5389" width="18.140625" customWidth="1"/>
    <col min="5390" max="5390" width="13.42578125" customWidth="1"/>
    <col min="5391" max="5391" width="13.7109375" customWidth="1"/>
    <col min="5392" max="5392" width="18.140625" customWidth="1"/>
    <col min="5393" max="5393" width="13.42578125" customWidth="1"/>
    <col min="5394" max="5394" width="13.28515625" customWidth="1"/>
    <col min="5395" max="5395" width="13.5703125" customWidth="1"/>
    <col min="5633" max="5633" width="72.7109375" customWidth="1"/>
    <col min="5634" max="5634" width="18.7109375" customWidth="1"/>
    <col min="5635" max="5635" width="11.140625" customWidth="1"/>
    <col min="5636" max="5636" width="17.85546875" customWidth="1"/>
    <col min="5637" max="5637" width="15.42578125" customWidth="1"/>
    <col min="5638" max="5638" width="11.7109375" customWidth="1"/>
    <col min="5639" max="5639" width="13.5703125" customWidth="1"/>
    <col min="5640" max="5640" width="14.85546875" customWidth="1"/>
    <col min="5641" max="5641" width="11.140625" customWidth="1"/>
    <col min="5642" max="5642" width="14.85546875" customWidth="1"/>
    <col min="5643" max="5643" width="15.85546875" customWidth="1"/>
    <col min="5644" max="5644" width="13.42578125" customWidth="1"/>
    <col min="5645" max="5645" width="18.140625" customWidth="1"/>
    <col min="5646" max="5646" width="13.42578125" customWidth="1"/>
    <col min="5647" max="5647" width="13.7109375" customWidth="1"/>
    <col min="5648" max="5648" width="18.140625" customWidth="1"/>
    <col min="5649" max="5649" width="13.42578125" customWidth="1"/>
    <col min="5650" max="5650" width="13.28515625" customWidth="1"/>
    <col min="5651" max="5651" width="13.5703125" customWidth="1"/>
    <col min="5889" max="5889" width="72.7109375" customWidth="1"/>
    <col min="5890" max="5890" width="18.7109375" customWidth="1"/>
    <col min="5891" max="5891" width="11.140625" customWidth="1"/>
    <col min="5892" max="5892" width="17.85546875" customWidth="1"/>
    <col min="5893" max="5893" width="15.42578125" customWidth="1"/>
    <col min="5894" max="5894" width="11.7109375" customWidth="1"/>
    <col min="5895" max="5895" width="13.5703125" customWidth="1"/>
    <col min="5896" max="5896" width="14.85546875" customWidth="1"/>
    <col min="5897" max="5897" width="11.140625" customWidth="1"/>
    <col min="5898" max="5898" width="14.85546875" customWidth="1"/>
    <col min="5899" max="5899" width="15.85546875" customWidth="1"/>
    <col min="5900" max="5900" width="13.42578125" customWidth="1"/>
    <col min="5901" max="5901" width="18.140625" customWidth="1"/>
    <col min="5902" max="5902" width="13.42578125" customWidth="1"/>
    <col min="5903" max="5903" width="13.7109375" customWidth="1"/>
    <col min="5904" max="5904" width="18.140625" customWidth="1"/>
    <col min="5905" max="5905" width="13.42578125" customWidth="1"/>
    <col min="5906" max="5906" width="13.28515625" customWidth="1"/>
    <col min="5907" max="5907" width="13.5703125" customWidth="1"/>
    <col min="6145" max="6145" width="72.7109375" customWidth="1"/>
    <col min="6146" max="6146" width="18.7109375" customWidth="1"/>
    <col min="6147" max="6147" width="11.140625" customWidth="1"/>
    <col min="6148" max="6148" width="17.85546875" customWidth="1"/>
    <col min="6149" max="6149" width="15.42578125" customWidth="1"/>
    <col min="6150" max="6150" width="11.7109375" customWidth="1"/>
    <col min="6151" max="6151" width="13.5703125" customWidth="1"/>
    <col min="6152" max="6152" width="14.85546875" customWidth="1"/>
    <col min="6153" max="6153" width="11.140625" customWidth="1"/>
    <col min="6154" max="6154" width="14.85546875" customWidth="1"/>
    <col min="6155" max="6155" width="15.85546875" customWidth="1"/>
    <col min="6156" max="6156" width="13.42578125" customWidth="1"/>
    <col min="6157" max="6157" width="18.140625" customWidth="1"/>
    <col min="6158" max="6158" width="13.42578125" customWidth="1"/>
    <col min="6159" max="6159" width="13.7109375" customWidth="1"/>
    <col min="6160" max="6160" width="18.140625" customWidth="1"/>
    <col min="6161" max="6161" width="13.42578125" customWidth="1"/>
    <col min="6162" max="6162" width="13.28515625" customWidth="1"/>
    <col min="6163" max="6163" width="13.5703125" customWidth="1"/>
    <col min="6401" max="6401" width="72.7109375" customWidth="1"/>
    <col min="6402" max="6402" width="18.7109375" customWidth="1"/>
    <col min="6403" max="6403" width="11.140625" customWidth="1"/>
    <col min="6404" max="6404" width="17.85546875" customWidth="1"/>
    <col min="6405" max="6405" width="15.42578125" customWidth="1"/>
    <col min="6406" max="6406" width="11.7109375" customWidth="1"/>
    <col min="6407" max="6407" width="13.5703125" customWidth="1"/>
    <col min="6408" max="6408" width="14.85546875" customWidth="1"/>
    <col min="6409" max="6409" width="11.140625" customWidth="1"/>
    <col min="6410" max="6410" width="14.85546875" customWidth="1"/>
    <col min="6411" max="6411" width="15.85546875" customWidth="1"/>
    <col min="6412" max="6412" width="13.42578125" customWidth="1"/>
    <col min="6413" max="6413" width="18.140625" customWidth="1"/>
    <col min="6414" max="6414" width="13.42578125" customWidth="1"/>
    <col min="6415" max="6415" width="13.7109375" customWidth="1"/>
    <col min="6416" max="6416" width="18.140625" customWidth="1"/>
    <col min="6417" max="6417" width="13.42578125" customWidth="1"/>
    <col min="6418" max="6418" width="13.28515625" customWidth="1"/>
    <col min="6419" max="6419" width="13.5703125" customWidth="1"/>
    <col min="6657" max="6657" width="72.7109375" customWidth="1"/>
    <col min="6658" max="6658" width="18.7109375" customWidth="1"/>
    <col min="6659" max="6659" width="11.140625" customWidth="1"/>
    <col min="6660" max="6660" width="17.85546875" customWidth="1"/>
    <col min="6661" max="6661" width="15.42578125" customWidth="1"/>
    <col min="6662" max="6662" width="11.7109375" customWidth="1"/>
    <col min="6663" max="6663" width="13.5703125" customWidth="1"/>
    <col min="6664" max="6664" width="14.85546875" customWidth="1"/>
    <col min="6665" max="6665" width="11.140625" customWidth="1"/>
    <col min="6666" max="6666" width="14.85546875" customWidth="1"/>
    <col min="6667" max="6667" width="15.85546875" customWidth="1"/>
    <col min="6668" max="6668" width="13.42578125" customWidth="1"/>
    <col min="6669" max="6669" width="18.140625" customWidth="1"/>
    <col min="6670" max="6670" width="13.42578125" customWidth="1"/>
    <col min="6671" max="6671" width="13.7109375" customWidth="1"/>
    <col min="6672" max="6672" width="18.140625" customWidth="1"/>
    <col min="6673" max="6673" width="13.42578125" customWidth="1"/>
    <col min="6674" max="6674" width="13.28515625" customWidth="1"/>
    <col min="6675" max="6675" width="13.5703125" customWidth="1"/>
    <col min="6913" max="6913" width="72.7109375" customWidth="1"/>
    <col min="6914" max="6914" width="18.7109375" customWidth="1"/>
    <col min="6915" max="6915" width="11.140625" customWidth="1"/>
    <col min="6916" max="6916" width="17.85546875" customWidth="1"/>
    <col min="6917" max="6917" width="15.42578125" customWidth="1"/>
    <col min="6918" max="6918" width="11.7109375" customWidth="1"/>
    <col min="6919" max="6919" width="13.5703125" customWidth="1"/>
    <col min="6920" max="6920" width="14.85546875" customWidth="1"/>
    <col min="6921" max="6921" width="11.140625" customWidth="1"/>
    <col min="6922" max="6922" width="14.85546875" customWidth="1"/>
    <col min="6923" max="6923" width="15.85546875" customWidth="1"/>
    <col min="6924" max="6924" width="13.42578125" customWidth="1"/>
    <col min="6925" max="6925" width="18.140625" customWidth="1"/>
    <col min="6926" max="6926" width="13.42578125" customWidth="1"/>
    <col min="6927" max="6927" width="13.7109375" customWidth="1"/>
    <col min="6928" max="6928" width="18.140625" customWidth="1"/>
    <col min="6929" max="6929" width="13.42578125" customWidth="1"/>
    <col min="6930" max="6930" width="13.28515625" customWidth="1"/>
    <col min="6931" max="6931" width="13.5703125" customWidth="1"/>
    <col min="7169" max="7169" width="72.7109375" customWidth="1"/>
    <col min="7170" max="7170" width="18.7109375" customWidth="1"/>
    <col min="7171" max="7171" width="11.140625" customWidth="1"/>
    <col min="7172" max="7172" width="17.85546875" customWidth="1"/>
    <col min="7173" max="7173" width="15.42578125" customWidth="1"/>
    <col min="7174" max="7174" width="11.7109375" customWidth="1"/>
    <col min="7175" max="7175" width="13.5703125" customWidth="1"/>
    <col min="7176" max="7176" width="14.85546875" customWidth="1"/>
    <col min="7177" max="7177" width="11.140625" customWidth="1"/>
    <col min="7178" max="7178" width="14.85546875" customWidth="1"/>
    <col min="7179" max="7179" width="15.85546875" customWidth="1"/>
    <col min="7180" max="7180" width="13.42578125" customWidth="1"/>
    <col min="7181" max="7181" width="18.140625" customWidth="1"/>
    <col min="7182" max="7182" width="13.42578125" customWidth="1"/>
    <col min="7183" max="7183" width="13.7109375" customWidth="1"/>
    <col min="7184" max="7184" width="18.140625" customWidth="1"/>
    <col min="7185" max="7185" width="13.42578125" customWidth="1"/>
    <col min="7186" max="7186" width="13.28515625" customWidth="1"/>
    <col min="7187" max="7187" width="13.5703125" customWidth="1"/>
    <col min="7425" max="7425" width="72.7109375" customWidth="1"/>
    <col min="7426" max="7426" width="18.7109375" customWidth="1"/>
    <col min="7427" max="7427" width="11.140625" customWidth="1"/>
    <col min="7428" max="7428" width="17.85546875" customWidth="1"/>
    <col min="7429" max="7429" width="15.42578125" customWidth="1"/>
    <col min="7430" max="7430" width="11.7109375" customWidth="1"/>
    <col min="7431" max="7431" width="13.5703125" customWidth="1"/>
    <col min="7432" max="7432" width="14.85546875" customWidth="1"/>
    <col min="7433" max="7433" width="11.140625" customWidth="1"/>
    <col min="7434" max="7434" width="14.85546875" customWidth="1"/>
    <col min="7435" max="7435" width="15.85546875" customWidth="1"/>
    <col min="7436" max="7436" width="13.42578125" customWidth="1"/>
    <col min="7437" max="7437" width="18.140625" customWidth="1"/>
    <col min="7438" max="7438" width="13.42578125" customWidth="1"/>
    <col min="7439" max="7439" width="13.7109375" customWidth="1"/>
    <col min="7440" max="7440" width="18.140625" customWidth="1"/>
    <col min="7441" max="7441" width="13.42578125" customWidth="1"/>
    <col min="7442" max="7442" width="13.28515625" customWidth="1"/>
    <col min="7443" max="7443" width="13.5703125" customWidth="1"/>
    <col min="7681" max="7681" width="72.7109375" customWidth="1"/>
    <col min="7682" max="7682" width="18.7109375" customWidth="1"/>
    <col min="7683" max="7683" width="11.140625" customWidth="1"/>
    <col min="7684" max="7684" width="17.85546875" customWidth="1"/>
    <col min="7685" max="7685" width="15.42578125" customWidth="1"/>
    <col min="7686" max="7686" width="11.7109375" customWidth="1"/>
    <col min="7687" max="7687" width="13.5703125" customWidth="1"/>
    <col min="7688" max="7688" width="14.85546875" customWidth="1"/>
    <col min="7689" max="7689" width="11.140625" customWidth="1"/>
    <col min="7690" max="7690" width="14.85546875" customWidth="1"/>
    <col min="7691" max="7691" width="15.85546875" customWidth="1"/>
    <col min="7692" max="7692" width="13.42578125" customWidth="1"/>
    <col min="7693" max="7693" width="18.140625" customWidth="1"/>
    <col min="7694" max="7694" width="13.42578125" customWidth="1"/>
    <col min="7695" max="7695" width="13.7109375" customWidth="1"/>
    <col min="7696" max="7696" width="18.140625" customWidth="1"/>
    <col min="7697" max="7697" width="13.42578125" customWidth="1"/>
    <col min="7698" max="7698" width="13.28515625" customWidth="1"/>
    <col min="7699" max="7699" width="13.5703125" customWidth="1"/>
    <col min="7937" max="7937" width="72.7109375" customWidth="1"/>
    <col min="7938" max="7938" width="18.7109375" customWidth="1"/>
    <col min="7939" max="7939" width="11.140625" customWidth="1"/>
    <col min="7940" max="7940" width="17.85546875" customWidth="1"/>
    <col min="7941" max="7941" width="15.42578125" customWidth="1"/>
    <col min="7942" max="7942" width="11.7109375" customWidth="1"/>
    <col min="7943" max="7943" width="13.5703125" customWidth="1"/>
    <col min="7944" max="7944" width="14.85546875" customWidth="1"/>
    <col min="7945" max="7945" width="11.140625" customWidth="1"/>
    <col min="7946" max="7946" width="14.85546875" customWidth="1"/>
    <col min="7947" max="7947" width="15.85546875" customWidth="1"/>
    <col min="7948" max="7948" width="13.42578125" customWidth="1"/>
    <col min="7949" max="7949" width="18.140625" customWidth="1"/>
    <col min="7950" max="7950" width="13.42578125" customWidth="1"/>
    <col min="7951" max="7951" width="13.7109375" customWidth="1"/>
    <col min="7952" max="7952" width="18.140625" customWidth="1"/>
    <col min="7953" max="7953" width="13.42578125" customWidth="1"/>
    <col min="7954" max="7954" width="13.28515625" customWidth="1"/>
    <col min="7955" max="7955" width="13.5703125" customWidth="1"/>
    <col min="8193" max="8193" width="72.7109375" customWidth="1"/>
    <col min="8194" max="8194" width="18.7109375" customWidth="1"/>
    <col min="8195" max="8195" width="11.140625" customWidth="1"/>
    <col min="8196" max="8196" width="17.85546875" customWidth="1"/>
    <col min="8197" max="8197" width="15.42578125" customWidth="1"/>
    <col min="8198" max="8198" width="11.7109375" customWidth="1"/>
    <col min="8199" max="8199" width="13.5703125" customWidth="1"/>
    <col min="8200" max="8200" width="14.85546875" customWidth="1"/>
    <col min="8201" max="8201" width="11.140625" customWidth="1"/>
    <col min="8202" max="8202" width="14.85546875" customWidth="1"/>
    <col min="8203" max="8203" width="15.85546875" customWidth="1"/>
    <col min="8204" max="8204" width="13.42578125" customWidth="1"/>
    <col min="8205" max="8205" width="18.140625" customWidth="1"/>
    <col min="8206" max="8206" width="13.42578125" customWidth="1"/>
    <col min="8207" max="8207" width="13.7109375" customWidth="1"/>
    <col min="8208" max="8208" width="18.140625" customWidth="1"/>
    <col min="8209" max="8209" width="13.42578125" customWidth="1"/>
    <col min="8210" max="8210" width="13.28515625" customWidth="1"/>
    <col min="8211" max="8211" width="13.5703125" customWidth="1"/>
    <col min="8449" max="8449" width="72.7109375" customWidth="1"/>
    <col min="8450" max="8450" width="18.7109375" customWidth="1"/>
    <col min="8451" max="8451" width="11.140625" customWidth="1"/>
    <col min="8452" max="8452" width="17.85546875" customWidth="1"/>
    <col min="8453" max="8453" width="15.42578125" customWidth="1"/>
    <col min="8454" max="8454" width="11.7109375" customWidth="1"/>
    <col min="8455" max="8455" width="13.5703125" customWidth="1"/>
    <col min="8456" max="8456" width="14.85546875" customWidth="1"/>
    <col min="8457" max="8457" width="11.140625" customWidth="1"/>
    <col min="8458" max="8458" width="14.85546875" customWidth="1"/>
    <col min="8459" max="8459" width="15.85546875" customWidth="1"/>
    <col min="8460" max="8460" width="13.42578125" customWidth="1"/>
    <col min="8461" max="8461" width="18.140625" customWidth="1"/>
    <col min="8462" max="8462" width="13.42578125" customWidth="1"/>
    <col min="8463" max="8463" width="13.7109375" customWidth="1"/>
    <col min="8464" max="8464" width="18.140625" customWidth="1"/>
    <col min="8465" max="8465" width="13.42578125" customWidth="1"/>
    <col min="8466" max="8466" width="13.28515625" customWidth="1"/>
    <col min="8467" max="8467" width="13.5703125" customWidth="1"/>
    <col min="8705" max="8705" width="72.7109375" customWidth="1"/>
    <col min="8706" max="8706" width="18.7109375" customWidth="1"/>
    <col min="8707" max="8707" width="11.140625" customWidth="1"/>
    <col min="8708" max="8708" width="17.85546875" customWidth="1"/>
    <col min="8709" max="8709" width="15.42578125" customWidth="1"/>
    <col min="8710" max="8710" width="11.7109375" customWidth="1"/>
    <col min="8711" max="8711" width="13.5703125" customWidth="1"/>
    <col min="8712" max="8712" width="14.85546875" customWidth="1"/>
    <col min="8713" max="8713" width="11.140625" customWidth="1"/>
    <col min="8714" max="8714" width="14.85546875" customWidth="1"/>
    <col min="8715" max="8715" width="15.85546875" customWidth="1"/>
    <col min="8716" max="8716" width="13.42578125" customWidth="1"/>
    <col min="8717" max="8717" width="18.140625" customWidth="1"/>
    <col min="8718" max="8718" width="13.42578125" customWidth="1"/>
    <col min="8719" max="8719" width="13.7109375" customWidth="1"/>
    <col min="8720" max="8720" width="18.140625" customWidth="1"/>
    <col min="8721" max="8721" width="13.42578125" customWidth="1"/>
    <col min="8722" max="8722" width="13.28515625" customWidth="1"/>
    <col min="8723" max="8723" width="13.5703125" customWidth="1"/>
    <col min="8961" max="8961" width="72.7109375" customWidth="1"/>
    <col min="8962" max="8962" width="18.7109375" customWidth="1"/>
    <col min="8963" max="8963" width="11.140625" customWidth="1"/>
    <col min="8964" max="8964" width="17.85546875" customWidth="1"/>
    <col min="8965" max="8965" width="15.42578125" customWidth="1"/>
    <col min="8966" max="8966" width="11.7109375" customWidth="1"/>
    <col min="8967" max="8967" width="13.5703125" customWidth="1"/>
    <col min="8968" max="8968" width="14.85546875" customWidth="1"/>
    <col min="8969" max="8969" width="11.140625" customWidth="1"/>
    <col min="8970" max="8970" width="14.85546875" customWidth="1"/>
    <col min="8971" max="8971" width="15.85546875" customWidth="1"/>
    <col min="8972" max="8972" width="13.42578125" customWidth="1"/>
    <col min="8973" max="8973" width="18.140625" customWidth="1"/>
    <col min="8974" max="8974" width="13.42578125" customWidth="1"/>
    <col min="8975" max="8975" width="13.7109375" customWidth="1"/>
    <col min="8976" max="8976" width="18.140625" customWidth="1"/>
    <col min="8977" max="8977" width="13.42578125" customWidth="1"/>
    <col min="8978" max="8978" width="13.28515625" customWidth="1"/>
    <col min="8979" max="8979" width="13.5703125" customWidth="1"/>
    <col min="9217" max="9217" width="72.7109375" customWidth="1"/>
    <col min="9218" max="9218" width="18.7109375" customWidth="1"/>
    <col min="9219" max="9219" width="11.140625" customWidth="1"/>
    <col min="9220" max="9220" width="17.85546875" customWidth="1"/>
    <col min="9221" max="9221" width="15.42578125" customWidth="1"/>
    <col min="9222" max="9222" width="11.7109375" customWidth="1"/>
    <col min="9223" max="9223" width="13.5703125" customWidth="1"/>
    <col min="9224" max="9224" width="14.85546875" customWidth="1"/>
    <col min="9225" max="9225" width="11.140625" customWidth="1"/>
    <col min="9226" max="9226" width="14.85546875" customWidth="1"/>
    <col min="9227" max="9227" width="15.85546875" customWidth="1"/>
    <col min="9228" max="9228" width="13.42578125" customWidth="1"/>
    <col min="9229" max="9229" width="18.140625" customWidth="1"/>
    <col min="9230" max="9230" width="13.42578125" customWidth="1"/>
    <col min="9231" max="9231" width="13.7109375" customWidth="1"/>
    <col min="9232" max="9232" width="18.140625" customWidth="1"/>
    <col min="9233" max="9233" width="13.42578125" customWidth="1"/>
    <col min="9234" max="9234" width="13.28515625" customWidth="1"/>
    <col min="9235" max="9235" width="13.5703125" customWidth="1"/>
    <col min="9473" max="9473" width="72.7109375" customWidth="1"/>
    <col min="9474" max="9474" width="18.7109375" customWidth="1"/>
    <col min="9475" max="9475" width="11.140625" customWidth="1"/>
    <col min="9476" max="9476" width="17.85546875" customWidth="1"/>
    <col min="9477" max="9477" width="15.42578125" customWidth="1"/>
    <col min="9478" max="9478" width="11.7109375" customWidth="1"/>
    <col min="9479" max="9479" width="13.5703125" customWidth="1"/>
    <col min="9480" max="9480" width="14.85546875" customWidth="1"/>
    <col min="9481" max="9481" width="11.140625" customWidth="1"/>
    <col min="9482" max="9482" width="14.85546875" customWidth="1"/>
    <col min="9483" max="9483" width="15.85546875" customWidth="1"/>
    <col min="9484" max="9484" width="13.42578125" customWidth="1"/>
    <col min="9485" max="9485" width="18.140625" customWidth="1"/>
    <col min="9486" max="9486" width="13.42578125" customWidth="1"/>
    <col min="9487" max="9487" width="13.7109375" customWidth="1"/>
    <col min="9488" max="9488" width="18.140625" customWidth="1"/>
    <col min="9489" max="9489" width="13.42578125" customWidth="1"/>
    <col min="9490" max="9490" width="13.28515625" customWidth="1"/>
    <col min="9491" max="9491" width="13.5703125" customWidth="1"/>
    <col min="9729" max="9729" width="72.7109375" customWidth="1"/>
    <col min="9730" max="9730" width="18.7109375" customWidth="1"/>
    <col min="9731" max="9731" width="11.140625" customWidth="1"/>
    <col min="9732" max="9732" width="17.85546875" customWidth="1"/>
    <col min="9733" max="9733" width="15.42578125" customWidth="1"/>
    <col min="9734" max="9734" width="11.7109375" customWidth="1"/>
    <col min="9735" max="9735" width="13.5703125" customWidth="1"/>
    <col min="9736" max="9736" width="14.85546875" customWidth="1"/>
    <col min="9737" max="9737" width="11.140625" customWidth="1"/>
    <col min="9738" max="9738" width="14.85546875" customWidth="1"/>
    <col min="9739" max="9739" width="15.85546875" customWidth="1"/>
    <col min="9740" max="9740" width="13.42578125" customWidth="1"/>
    <col min="9741" max="9741" width="18.140625" customWidth="1"/>
    <col min="9742" max="9742" width="13.42578125" customWidth="1"/>
    <col min="9743" max="9743" width="13.7109375" customWidth="1"/>
    <col min="9744" max="9744" width="18.140625" customWidth="1"/>
    <col min="9745" max="9745" width="13.42578125" customWidth="1"/>
    <col min="9746" max="9746" width="13.28515625" customWidth="1"/>
    <col min="9747" max="9747" width="13.5703125" customWidth="1"/>
    <col min="9985" max="9985" width="72.7109375" customWidth="1"/>
    <col min="9986" max="9986" width="18.7109375" customWidth="1"/>
    <col min="9987" max="9987" width="11.140625" customWidth="1"/>
    <col min="9988" max="9988" width="17.85546875" customWidth="1"/>
    <col min="9989" max="9989" width="15.42578125" customWidth="1"/>
    <col min="9990" max="9990" width="11.7109375" customWidth="1"/>
    <col min="9991" max="9991" width="13.5703125" customWidth="1"/>
    <col min="9992" max="9992" width="14.85546875" customWidth="1"/>
    <col min="9993" max="9993" width="11.140625" customWidth="1"/>
    <col min="9994" max="9994" width="14.85546875" customWidth="1"/>
    <col min="9995" max="9995" width="15.85546875" customWidth="1"/>
    <col min="9996" max="9996" width="13.42578125" customWidth="1"/>
    <col min="9997" max="9997" width="18.140625" customWidth="1"/>
    <col min="9998" max="9998" width="13.42578125" customWidth="1"/>
    <col min="9999" max="9999" width="13.7109375" customWidth="1"/>
    <col min="10000" max="10000" width="18.140625" customWidth="1"/>
    <col min="10001" max="10001" width="13.42578125" customWidth="1"/>
    <col min="10002" max="10002" width="13.28515625" customWidth="1"/>
    <col min="10003" max="10003" width="13.5703125" customWidth="1"/>
    <col min="10241" max="10241" width="72.7109375" customWidth="1"/>
    <col min="10242" max="10242" width="18.7109375" customWidth="1"/>
    <col min="10243" max="10243" width="11.140625" customWidth="1"/>
    <col min="10244" max="10244" width="17.85546875" customWidth="1"/>
    <col min="10245" max="10245" width="15.42578125" customWidth="1"/>
    <col min="10246" max="10246" width="11.7109375" customWidth="1"/>
    <col min="10247" max="10247" width="13.5703125" customWidth="1"/>
    <col min="10248" max="10248" width="14.85546875" customWidth="1"/>
    <col min="10249" max="10249" width="11.140625" customWidth="1"/>
    <col min="10250" max="10250" width="14.85546875" customWidth="1"/>
    <col min="10251" max="10251" width="15.85546875" customWidth="1"/>
    <col min="10252" max="10252" width="13.42578125" customWidth="1"/>
    <col min="10253" max="10253" width="18.140625" customWidth="1"/>
    <col min="10254" max="10254" width="13.42578125" customWidth="1"/>
    <col min="10255" max="10255" width="13.7109375" customWidth="1"/>
    <col min="10256" max="10256" width="18.140625" customWidth="1"/>
    <col min="10257" max="10257" width="13.42578125" customWidth="1"/>
    <col min="10258" max="10258" width="13.28515625" customWidth="1"/>
    <col min="10259" max="10259" width="13.5703125" customWidth="1"/>
    <col min="10497" max="10497" width="72.7109375" customWidth="1"/>
    <col min="10498" max="10498" width="18.7109375" customWidth="1"/>
    <col min="10499" max="10499" width="11.140625" customWidth="1"/>
    <col min="10500" max="10500" width="17.85546875" customWidth="1"/>
    <col min="10501" max="10501" width="15.42578125" customWidth="1"/>
    <col min="10502" max="10502" width="11.7109375" customWidth="1"/>
    <col min="10503" max="10503" width="13.5703125" customWidth="1"/>
    <col min="10504" max="10504" width="14.85546875" customWidth="1"/>
    <col min="10505" max="10505" width="11.140625" customWidth="1"/>
    <col min="10506" max="10506" width="14.85546875" customWidth="1"/>
    <col min="10507" max="10507" width="15.85546875" customWidth="1"/>
    <col min="10508" max="10508" width="13.42578125" customWidth="1"/>
    <col min="10509" max="10509" width="18.140625" customWidth="1"/>
    <col min="10510" max="10510" width="13.42578125" customWidth="1"/>
    <col min="10511" max="10511" width="13.7109375" customWidth="1"/>
    <col min="10512" max="10512" width="18.140625" customWidth="1"/>
    <col min="10513" max="10513" width="13.42578125" customWidth="1"/>
    <col min="10514" max="10514" width="13.28515625" customWidth="1"/>
    <col min="10515" max="10515" width="13.5703125" customWidth="1"/>
    <col min="10753" max="10753" width="72.7109375" customWidth="1"/>
    <col min="10754" max="10754" width="18.7109375" customWidth="1"/>
    <col min="10755" max="10755" width="11.140625" customWidth="1"/>
    <col min="10756" max="10756" width="17.85546875" customWidth="1"/>
    <col min="10757" max="10757" width="15.42578125" customWidth="1"/>
    <col min="10758" max="10758" width="11.7109375" customWidth="1"/>
    <col min="10759" max="10759" width="13.5703125" customWidth="1"/>
    <col min="10760" max="10760" width="14.85546875" customWidth="1"/>
    <col min="10761" max="10761" width="11.140625" customWidth="1"/>
    <col min="10762" max="10762" width="14.85546875" customWidth="1"/>
    <col min="10763" max="10763" width="15.85546875" customWidth="1"/>
    <col min="10764" max="10764" width="13.42578125" customWidth="1"/>
    <col min="10765" max="10765" width="18.140625" customWidth="1"/>
    <col min="10766" max="10766" width="13.42578125" customWidth="1"/>
    <col min="10767" max="10767" width="13.7109375" customWidth="1"/>
    <col min="10768" max="10768" width="18.140625" customWidth="1"/>
    <col min="10769" max="10769" width="13.42578125" customWidth="1"/>
    <col min="10770" max="10770" width="13.28515625" customWidth="1"/>
    <col min="10771" max="10771" width="13.5703125" customWidth="1"/>
    <col min="11009" max="11009" width="72.7109375" customWidth="1"/>
    <col min="11010" max="11010" width="18.7109375" customWidth="1"/>
    <col min="11011" max="11011" width="11.140625" customWidth="1"/>
    <col min="11012" max="11012" width="17.85546875" customWidth="1"/>
    <col min="11013" max="11013" width="15.42578125" customWidth="1"/>
    <col min="11014" max="11014" width="11.7109375" customWidth="1"/>
    <col min="11015" max="11015" width="13.5703125" customWidth="1"/>
    <col min="11016" max="11016" width="14.85546875" customWidth="1"/>
    <col min="11017" max="11017" width="11.140625" customWidth="1"/>
    <col min="11018" max="11018" width="14.85546875" customWidth="1"/>
    <col min="11019" max="11019" width="15.85546875" customWidth="1"/>
    <col min="11020" max="11020" width="13.42578125" customWidth="1"/>
    <col min="11021" max="11021" width="18.140625" customWidth="1"/>
    <col min="11022" max="11022" width="13.42578125" customWidth="1"/>
    <col min="11023" max="11023" width="13.7109375" customWidth="1"/>
    <col min="11024" max="11024" width="18.140625" customWidth="1"/>
    <col min="11025" max="11025" width="13.42578125" customWidth="1"/>
    <col min="11026" max="11026" width="13.28515625" customWidth="1"/>
    <col min="11027" max="11027" width="13.5703125" customWidth="1"/>
    <col min="11265" max="11265" width="72.7109375" customWidth="1"/>
    <col min="11266" max="11266" width="18.7109375" customWidth="1"/>
    <col min="11267" max="11267" width="11.140625" customWidth="1"/>
    <col min="11268" max="11268" width="17.85546875" customWidth="1"/>
    <col min="11269" max="11269" width="15.42578125" customWidth="1"/>
    <col min="11270" max="11270" width="11.7109375" customWidth="1"/>
    <col min="11271" max="11271" width="13.5703125" customWidth="1"/>
    <col min="11272" max="11272" width="14.85546875" customWidth="1"/>
    <col min="11273" max="11273" width="11.140625" customWidth="1"/>
    <col min="11274" max="11274" width="14.85546875" customWidth="1"/>
    <col min="11275" max="11275" width="15.85546875" customWidth="1"/>
    <col min="11276" max="11276" width="13.42578125" customWidth="1"/>
    <col min="11277" max="11277" width="18.140625" customWidth="1"/>
    <col min="11278" max="11278" width="13.42578125" customWidth="1"/>
    <col min="11279" max="11279" width="13.7109375" customWidth="1"/>
    <col min="11280" max="11280" width="18.140625" customWidth="1"/>
    <col min="11281" max="11281" width="13.42578125" customWidth="1"/>
    <col min="11282" max="11282" width="13.28515625" customWidth="1"/>
    <col min="11283" max="11283" width="13.5703125" customWidth="1"/>
    <col min="11521" max="11521" width="72.7109375" customWidth="1"/>
    <col min="11522" max="11522" width="18.7109375" customWidth="1"/>
    <col min="11523" max="11523" width="11.140625" customWidth="1"/>
    <col min="11524" max="11524" width="17.85546875" customWidth="1"/>
    <col min="11525" max="11525" width="15.42578125" customWidth="1"/>
    <col min="11526" max="11526" width="11.7109375" customWidth="1"/>
    <col min="11527" max="11527" width="13.5703125" customWidth="1"/>
    <col min="11528" max="11528" width="14.85546875" customWidth="1"/>
    <col min="11529" max="11529" width="11.140625" customWidth="1"/>
    <col min="11530" max="11530" width="14.85546875" customWidth="1"/>
    <col min="11531" max="11531" width="15.85546875" customWidth="1"/>
    <col min="11532" max="11532" width="13.42578125" customWidth="1"/>
    <col min="11533" max="11533" width="18.140625" customWidth="1"/>
    <col min="11534" max="11534" width="13.42578125" customWidth="1"/>
    <col min="11535" max="11535" width="13.7109375" customWidth="1"/>
    <col min="11536" max="11536" width="18.140625" customWidth="1"/>
    <col min="11537" max="11537" width="13.42578125" customWidth="1"/>
    <col min="11538" max="11538" width="13.28515625" customWidth="1"/>
    <col min="11539" max="11539" width="13.5703125" customWidth="1"/>
    <col min="11777" max="11777" width="72.7109375" customWidth="1"/>
    <col min="11778" max="11778" width="18.7109375" customWidth="1"/>
    <col min="11779" max="11779" width="11.140625" customWidth="1"/>
    <col min="11780" max="11780" width="17.85546875" customWidth="1"/>
    <col min="11781" max="11781" width="15.42578125" customWidth="1"/>
    <col min="11782" max="11782" width="11.7109375" customWidth="1"/>
    <col min="11783" max="11783" width="13.5703125" customWidth="1"/>
    <col min="11784" max="11784" width="14.85546875" customWidth="1"/>
    <col min="11785" max="11785" width="11.140625" customWidth="1"/>
    <col min="11786" max="11786" width="14.85546875" customWidth="1"/>
    <col min="11787" max="11787" width="15.85546875" customWidth="1"/>
    <col min="11788" max="11788" width="13.42578125" customWidth="1"/>
    <col min="11789" max="11789" width="18.140625" customWidth="1"/>
    <col min="11790" max="11790" width="13.42578125" customWidth="1"/>
    <col min="11791" max="11791" width="13.7109375" customWidth="1"/>
    <col min="11792" max="11792" width="18.140625" customWidth="1"/>
    <col min="11793" max="11793" width="13.42578125" customWidth="1"/>
    <col min="11794" max="11794" width="13.28515625" customWidth="1"/>
    <col min="11795" max="11795" width="13.5703125" customWidth="1"/>
    <col min="12033" max="12033" width="72.7109375" customWidth="1"/>
    <col min="12034" max="12034" width="18.7109375" customWidth="1"/>
    <col min="12035" max="12035" width="11.140625" customWidth="1"/>
    <col min="12036" max="12036" width="17.85546875" customWidth="1"/>
    <col min="12037" max="12037" width="15.42578125" customWidth="1"/>
    <col min="12038" max="12038" width="11.7109375" customWidth="1"/>
    <col min="12039" max="12039" width="13.5703125" customWidth="1"/>
    <col min="12040" max="12040" width="14.85546875" customWidth="1"/>
    <col min="12041" max="12041" width="11.140625" customWidth="1"/>
    <col min="12042" max="12042" width="14.85546875" customWidth="1"/>
    <col min="12043" max="12043" width="15.85546875" customWidth="1"/>
    <col min="12044" max="12044" width="13.42578125" customWidth="1"/>
    <col min="12045" max="12045" width="18.140625" customWidth="1"/>
    <col min="12046" max="12046" width="13.42578125" customWidth="1"/>
    <col min="12047" max="12047" width="13.7109375" customWidth="1"/>
    <col min="12048" max="12048" width="18.140625" customWidth="1"/>
    <col min="12049" max="12049" width="13.42578125" customWidth="1"/>
    <col min="12050" max="12050" width="13.28515625" customWidth="1"/>
    <col min="12051" max="12051" width="13.5703125" customWidth="1"/>
    <col min="12289" max="12289" width="72.7109375" customWidth="1"/>
    <col min="12290" max="12290" width="18.7109375" customWidth="1"/>
    <col min="12291" max="12291" width="11.140625" customWidth="1"/>
    <col min="12292" max="12292" width="17.85546875" customWidth="1"/>
    <col min="12293" max="12293" width="15.42578125" customWidth="1"/>
    <col min="12294" max="12294" width="11.7109375" customWidth="1"/>
    <col min="12295" max="12295" width="13.5703125" customWidth="1"/>
    <col min="12296" max="12296" width="14.85546875" customWidth="1"/>
    <col min="12297" max="12297" width="11.140625" customWidth="1"/>
    <col min="12298" max="12298" width="14.85546875" customWidth="1"/>
    <col min="12299" max="12299" width="15.85546875" customWidth="1"/>
    <col min="12300" max="12300" width="13.42578125" customWidth="1"/>
    <col min="12301" max="12301" width="18.140625" customWidth="1"/>
    <col min="12302" max="12302" width="13.42578125" customWidth="1"/>
    <col min="12303" max="12303" width="13.7109375" customWidth="1"/>
    <col min="12304" max="12304" width="18.140625" customWidth="1"/>
    <col min="12305" max="12305" width="13.42578125" customWidth="1"/>
    <col min="12306" max="12306" width="13.28515625" customWidth="1"/>
    <col min="12307" max="12307" width="13.5703125" customWidth="1"/>
    <col min="12545" max="12545" width="72.7109375" customWidth="1"/>
    <col min="12546" max="12546" width="18.7109375" customWidth="1"/>
    <col min="12547" max="12547" width="11.140625" customWidth="1"/>
    <col min="12548" max="12548" width="17.85546875" customWidth="1"/>
    <col min="12549" max="12549" width="15.42578125" customWidth="1"/>
    <col min="12550" max="12550" width="11.7109375" customWidth="1"/>
    <col min="12551" max="12551" width="13.5703125" customWidth="1"/>
    <col min="12552" max="12552" width="14.85546875" customWidth="1"/>
    <col min="12553" max="12553" width="11.140625" customWidth="1"/>
    <col min="12554" max="12554" width="14.85546875" customWidth="1"/>
    <col min="12555" max="12555" width="15.85546875" customWidth="1"/>
    <col min="12556" max="12556" width="13.42578125" customWidth="1"/>
    <col min="12557" max="12557" width="18.140625" customWidth="1"/>
    <col min="12558" max="12558" width="13.42578125" customWidth="1"/>
    <col min="12559" max="12559" width="13.7109375" customWidth="1"/>
    <col min="12560" max="12560" width="18.140625" customWidth="1"/>
    <col min="12561" max="12561" width="13.42578125" customWidth="1"/>
    <col min="12562" max="12562" width="13.28515625" customWidth="1"/>
    <col min="12563" max="12563" width="13.5703125" customWidth="1"/>
    <col min="12801" max="12801" width="72.7109375" customWidth="1"/>
    <col min="12802" max="12802" width="18.7109375" customWidth="1"/>
    <col min="12803" max="12803" width="11.140625" customWidth="1"/>
    <col min="12804" max="12804" width="17.85546875" customWidth="1"/>
    <col min="12805" max="12805" width="15.42578125" customWidth="1"/>
    <col min="12806" max="12806" width="11.7109375" customWidth="1"/>
    <col min="12807" max="12807" width="13.5703125" customWidth="1"/>
    <col min="12808" max="12808" width="14.85546875" customWidth="1"/>
    <col min="12809" max="12809" width="11.140625" customWidth="1"/>
    <col min="12810" max="12810" width="14.85546875" customWidth="1"/>
    <col min="12811" max="12811" width="15.85546875" customWidth="1"/>
    <col min="12812" max="12812" width="13.42578125" customWidth="1"/>
    <col min="12813" max="12813" width="18.140625" customWidth="1"/>
    <col min="12814" max="12814" width="13.42578125" customWidth="1"/>
    <col min="12815" max="12815" width="13.7109375" customWidth="1"/>
    <col min="12816" max="12816" width="18.140625" customWidth="1"/>
    <col min="12817" max="12817" width="13.42578125" customWidth="1"/>
    <col min="12818" max="12818" width="13.28515625" customWidth="1"/>
    <col min="12819" max="12819" width="13.5703125" customWidth="1"/>
    <col min="13057" max="13057" width="72.7109375" customWidth="1"/>
    <col min="13058" max="13058" width="18.7109375" customWidth="1"/>
    <col min="13059" max="13059" width="11.140625" customWidth="1"/>
    <col min="13060" max="13060" width="17.85546875" customWidth="1"/>
    <col min="13061" max="13061" width="15.42578125" customWidth="1"/>
    <col min="13062" max="13062" width="11.7109375" customWidth="1"/>
    <col min="13063" max="13063" width="13.5703125" customWidth="1"/>
    <col min="13064" max="13064" width="14.85546875" customWidth="1"/>
    <col min="13065" max="13065" width="11.140625" customWidth="1"/>
    <col min="13066" max="13066" width="14.85546875" customWidth="1"/>
    <col min="13067" max="13067" width="15.85546875" customWidth="1"/>
    <col min="13068" max="13068" width="13.42578125" customWidth="1"/>
    <col min="13069" max="13069" width="18.140625" customWidth="1"/>
    <col min="13070" max="13070" width="13.42578125" customWidth="1"/>
    <col min="13071" max="13071" width="13.7109375" customWidth="1"/>
    <col min="13072" max="13072" width="18.140625" customWidth="1"/>
    <col min="13073" max="13073" width="13.42578125" customWidth="1"/>
    <col min="13074" max="13074" width="13.28515625" customWidth="1"/>
    <col min="13075" max="13075" width="13.5703125" customWidth="1"/>
    <col min="13313" max="13313" width="72.7109375" customWidth="1"/>
    <col min="13314" max="13314" width="18.7109375" customWidth="1"/>
    <col min="13315" max="13315" width="11.140625" customWidth="1"/>
    <col min="13316" max="13316" width="17.85546875" customWidth="1"/>
    <col min="13317" max="13317" width="15.42578125" customWidth="1"/>
    <col min="13318" max="13318" width="11.7109375" customWidth="1"/>
    <col min="13319" max="13319" width="13.5703125" customWidth="1"/>
    <col min="13320" max="13320" width="14.85546875" customWidth="1"/>
    <col min="13321" max="13321" width="11.140625" customWidth="1"/>
    <col min="13322" max="13322" width="14.85546875" customWidth="1"/>
    <col min="13323" max="13323" width="15.85546875" customWidth="1"/>
    <col min="13324" max="13324" width="13.42578125" customWidth="1"/>
    <col min="13325" max="13325" width="18.140625" customWidth="1"/>
    <col min="13326" max="13326" width="13.42578125" customWidth="1"/>
    <col min="13327" max="13327" width="13.7109375" customWidth="1"/>
    <col min="13328" max="13328" width="18.140625" customWidth="1"/>
    <col min="13329" max="13329" width="13.42578125" customWidth="1"/>
    <col min="13330" max="13330" width="13.28515625" customWidth="1"/>
    <col min="13331" max="13331" width="13.5703125" customWidth="1"/>
    <col min="13569" max="13569" width="72.7109375" customWidth="1"/>
    <col min="13570" max="13570" width="18.7109375" customWidth="1"/>
    <col min="13571" max="13571" width="11.140625" customWidth="1"/>
    <col min="13572" max="13572" width="17.85546875" customWidth="1"/>
    <col min="13573" max="13573" width="15.42578125" customWidth="1"/>
    <col min="13574" max="13574" width="11.7109375" customWidth="1"/>
    <col min="13575" max="13575" width="13.5703125" customWidth="1"/>
    <col min="13576" max="13576" width="14.85546875" customWidth="1"/>
    <col min="13577" max="13577" width="11.140625" customWidth="1"/>
    <col min="13578" max="13578" width="14.85546875" customWidth="1"/>
    <col min="13579" max="13579" width="15.85546875" customWidth="1"/>
    <col min="13580" max="13580" width="13.42578125" customWidth="1"/>
    <col min="13581" max="13581" width="18.140625" customWidth="1"/>
    <col min="13582" max="13582" width="13.42578125" customWidth="1"/>
    <col min="13583" max="13583" width="13.7109375" customWidth="1"/>
    <col min="13584" max="13584" width="18.140625" customWidth="1"/>
    <col min="13585" max="13585" width="13.42578125" customWidth="1"/>
    <col min="13586" max="13586" width="13.28515625" customWidth="1"/>
    <col min="13587" max="13587" width="13.5703125" customWidth="1"/>
    <col min="13825" max="13825" width="72.7109375" customWidth="1"/>
    <col min="13826" max="13826" width="18.7109375" customWidth="1"/>
    <col min="13827" max="13827" width="11.140625" customWidth="1"/>
    <col min="13828" max="13828" width="17.85546875" customWidth="1"/>
    <col min="13829" max="13829" width="15.42578125" customWidth="1"/>
    <col min="13830" max="13830" width="11.7109375" customWidth="1"/>
    <col min="13831" max="13831" width="13.5703125" customWidth="1"/>
    <col min="13832" max="13832" width="14.85546875" customWidth="1"/>
    <col min="13833" max="13833" width="11.140625" customWidth="1"/>
    <col min="13834" max="13834" width="14.85546875" customWidth="1"/>
    <col min="13835" max="13835" width="15.85546875" customWidth="1"/>
    <col min="13836" max="13836" width="13.42578125" customWidth="1"/>
    <col min="13837" max="13837" width="18.140625" customWidth="1"/>
    <col min="13838" max="13838" width="13.42578125" customWidth="1"/>
    <col min="13839" max="13839" width="13.7109375" customWidth="1"/>
    <col min="13840" max="13840" width="18.140625" customWidth="1"/>
    <col min="13841" max="13841" width="13.42578125" customWidth="1"/>
    <col min="13842" max="13842" width="13.28515625" customWidth="1"/>
    <col min="13843" max="13843" width="13.5703125" customWidth="1"/>
    <col min="14081" max="14081" width="72.7109375" customWidth="1"/>
    <col min="14082" max="14082" width="18.7109375" customWidth="1"/>
    <col min="14083" max="14083" width="11.140625" customWidth="1"/>
    <col min="14084" max="14084" width="17.85546875" customWidth="1"/>
    <col min="14085" max="14085" width="15.42578125" customWidth="1"/>
    <col min="14086" max="14086" width="11.7109375" customWidth="1"/>
    <col min="14087" max="14087" width="13.5703125" customWidth="1"/>
    <col min="14088" max="14088" width="14.85546875" customWidth="1"/>
    <col min="14089" max="14089" width="11.140625" customWidth="1"/>
    <col min="14090" max="14090" width="14.85546875" customWidth="1"/>
    <col min="14091" max="14091" width="15.85546875" customWidth="1"/>
    <col min="14092" max="14092" width="13.42578125" customWidth="1"/>
    <col min="14093" max="14093" width="18.140625" customWidth="1"/>
    <col min="14094" max="14094" width="13.42578125" customWidth="1"/>
    <col min="14095" max="14095" width="13.7109375" customWidth="1"/>
    <col min="14096" max="14096" width="18.140625" customWidth="1"/>
    <col min="14097" max="14097" width="13.42578125" customWidth="1"/>
    <col min="14098" max="14098" width="13.28515625" customWidth="1"/>
    <col min="14099" max="14099" width="13.5703125" customWidth="1"/>
    <col min="14337" max="14337" width="72.7109375" customWidth="1"/>
    <col min="14338" max="14338" width="18.7109375" customWidth="1"/>
    <col min="14339" max="14339" width="11.140625" customWidth="1"/>
    <col min="14340" max="14340" width="17.85546875" customWidth="1"/>
    <col min="14341" max="14341" width="15.42578125" customWidth="1"/>
    <col min="14342" max="14342" width="11.7109375" customWidth="1"/>
    <col min="14343" max="14343" width="13.5703125" customWidth="1"/>
    <col min="14344" max="14344" width="14.85546875" customWidth="1"/>
    <col min="14345" max="14345" width="11.140625" customWidth="1"/>
    <col min="14346" max="14346" width="14.85546875" customWidth="1"/>
    <col min="14347" max="14347" width="15.85546875" customWidth="1"/>
    <col min="14348" max="14348" width="13.42578125" customWidth="1"/>
    <col min="14349" max="14349" width="18.140625" customWidth="1"/>
    <col min="14350" max="14350" width="13.42578125" customWidth="1"/>
    <col min="14351" max="14351" width="13.7109375" customWidth="1"/>
    <col min="14352" max="14352" width="18.140625" customWidth="1"/>
    <col min="14353" max="14353" width="13.42578125" customWidth="1"/>
    <col min="14354" max="14354" width="13.28515625" customWidth="1"/>
    <col min="14355" max="14355" width="13.5703125" customWidth="1"/>
    <col min="14593" max="14593" width="72.7109375" customWidth="1"/>
    <col min="14594" max="14594" width="18.7109375" customWidth="1"/>
    <col min="14595" max="14595" width="11.140625" customWidth="1"/>
    <col min="14596" max="14596" width="17.85546875" customWidth="1"/>
    <col min="14597" max="14597" width="15.42578125" customWidth="1"/>
    <col min="14598" max="14598" width="11.7109375" customWidth="1"/>
    <col min="14599" max="14599" width="13.5703125" customWidth="1"/>
    <col min="14600" max="14600" width="14.85546875" customWidth="1"/>
    <col min="14601" max="14601" width="11.140625" customWidth="1"/>
    <col min="14602" max="14602" width="14.85546875" customWidth="1"/>
    <col min="14603" max="14603" width="15.85546875" customWidth="1"/>
    <col min="14604" max="14604" width="13.42578125" customWidth="1"/>
    <col min="14605" max="14605" width="18.140625" customWidth="1"/>
    <col min="14606" max="14606" width="13.42578125" customWidth="1"/>
    <col min="14607" max="14607" width="13.7109375" customWidth="1"/>
    <col min="14608" max="14608" width="18.140625" customWidth="1"/>
    <col min="14609" max="14609" width="13.42578125" customWidth="1"/>
    <col min="14610" max="14610" width="13.28515625" customWidth="1"/>
    <col min="14611" max="14611" width="13.5703125" customWidth="1"/>
    <col min="14849" max="14849" width="72.7109375" customWidth="1"/>
    <col min="14850" max="14850" width="18.7109375" customWidth="1"/>
    <col min="14851" max="14851" width="11.140625" customWidth="1"/>
    <col min="14852" max="14852" width="17.85546875" customWidth="1"/>
    <col min="14853" max="14853" width="15.42578125" customWidth="1"/>
    <col min="14854" max="14854" width="11.7109375" customWidth="1"/>
    <col min="14855" max="14855" width="13.5703125" customWidth="1"/>
    <col min="14856" max="14856" width="14.85546875" customWidth="1"/>
    <col min="14857" max="14857" width="11.140625" customWidth="1"/>
    <col min="14858" max="14858" width="14.85546875" customWidth="1"/>
    <col min="14859" max="14859" width="15.85546875" customWidth="1"/>
    <col min="14860" max="14860" width="13.42578125" customWidth="1"/>
    <col min="14861" max="14861" width="18.140625" customWidth="1"/>
    <col min="14862" max="14862" width="13.42578125" customWidth="1"/>
    <col min="14863" max="14863" width="13.7109375" customWidth="1"/>
    <col min="14864" max="14864" width="18.140625" customWidth="1"/>
    <col min="14865" max="14865" width="13.42578125" customWidth="1"/>
    <col min="14866" max="14866" width="13.28515625" customWidth="1"/>
    <col min="14867" max="14867" width="13.5703125" customWidth="1"/>
    <col min="15105" max="15105" width="72.7109375" customWidth="1"/>
    <col min="15106" max="15106" width="18.7109375" customWidth="1"/>
    <col min="15107" max="15107" width="11.140625" customWidth="1"/>
    <col min="15108" max="15108" width="17.85546875" customWidth="1"/>
    <col min="15109" max="15109" width="15.42578125" customWidth="1"/>
    <col min="15110" max="15110" width="11.7109375" customWidth="1"/>
    <col min="15111" max="15111" width="13.5703125" customWidth="1"/>
    <col min="15112" max="15112" width="14.85546875" customWidth="1"/>
    <col min="15113" max="15113" width="11.140625" customWidth="1"/>
    <col min="15114" max="15114" width="14.85546875" customWidth="1"/>
    <col min="15115" max="15115" width="15.85546875" customWidth="1"/>
    <col min="15116" max="15116" width="13.42578125" customWidth="1"/>
    <col min="15117" max="15117" width="18.140625" customWidth="1"/>
    <col min="15118" max="15118" width="13.42578125" customWidth="1"/>
    <col min="15119" max="15119" width="13.7109375" customWidth="1"/>
    <col min="15120" max="15120" width="18.140625" customWidth="1"/>
    <col min="15121" max="15121" width="13.42578125" customWidth="1"/>
    <col min="15122" max="15122" width="13.28515625" customWidth="1"/>
    <col min="15123" max="15123" width="13.5703125" customWidth="1"/>
    <col min="15361" max="15361" width="72.7109375" customWidth="1"/>
    <col min="15362" max="15362" width="18.7109375" customWidth="1"/>
    <col min="15363" max="15363" width="11.140625" customWidth="1"/>
    <col min="15364" max="15364" width="17.85546875" customWidth="1"/>
    <col min="15365" max="15365" width="15.42578125" customWidth="1"/>
    <col min="15366" max="15366" width="11.7109375" customWidth="1"/>
    <col min="15367" max="15367" width="13.5703125" customWidth="1"/>
    <col min="15368" max="15368" width="14.85546875" customWidth="1"/>
    <col min="15369" max="15369" width="11.140625" customWidth="1"/>
    <col min="15370" max="15370" width="14.85546875" customWidth="1"/>
    <col min="15371" max="15371" width="15.85546875" customWidth="1"/>
    <col min="15372" max="15372" width="13.42578125" customWidth="1"/>
    <col min="15373" max="15373" width="18.140625" customWidth="1"/>
    <col min="15374" max="15374" width="13.42578125" customWidth="1"/>
    <col min="15375" max="15375" width="13.7109375" customWidth="1"/>
    <col min="15376" max="15376" width="18.140625" customWidth="1"/>
    <col min="15377" max="15377" width="13.42578125" customWidth="1"/>
    <col min="15378" max="15378" width="13.28515625" customWidth="1"/>
    <col min="15379" max="15379" width="13.5703125" customWidth="1"/>
    <col min="15617" max="15617" width="72.7109375" customWidth="1"/>
    <col min="15618" max="15618" width="18.7109375" customWidth="1"/>
    <col min="15619" max="15619" width="11.140625" customWidth="1"/>
    <col min="15620" max="15620" width="17.85546875" customWidth="1"/>
    <col min="15621" max="15621" width="15.42578125" customWidth="1"/>
    <col min="15622" max="15622" width="11.7109375" customWidth="1"/>
    <col min="15623" max="15623" width="13.5703125" customWidth="1"/>
    <col min="15624" max="15624" width="14.85546875" customWidth="1"/>
    <col min="15625" max="15625" width="11.140625" customWidth="1"/>
    <col min="15626" max="15626" width="14.85546875" customWidth="1"/>
    <col min="15627" max="15627" width="15.85546875" customWidth="1"/>
    <col min="15628" max="15628" width="13.42578125" customWidth="1"/>
    <col min="15629" max="15629" width="18.140625" customWidth="1"/>
    <col min="15630" max="15630" width="13.42578125" customWidth="1"/>
    <col min="15631" max="15631" width="13.7109375" customWidth="1"/>
    <col min="15632" max="15632" width="18.140625" customWidth="1"/>
    <col min="15633" max="15633" width="13.42578125" customWidth="1"/>
    <col min="15634" max="15634" width="13.28515625" customWidth="1"/>
    <col min="15635" max="15635" width="13.5703125" customWidth="1"/>
    <col min="15873" max="15873" width="72.7109375" customWidth="1"/>
    <col min="15874" max="15874" width="18.7109375" customWidth="1"/>
    <col min="15875" max="15875" width="11.140625" customWidth="1"/>
    <col min="15876" max="15876" width="17.85546875" customWidth="1"/>
    <col min="15877" max="15877" width="15.42578125" customWidth="1"/>
    <col min="15878" max="15878" width="11.7109375" customWidth="1"/>
    <col min="15879" max="15879" width="13.5703125" customWidth="1"/>
    <col min="15880" max="15880" width="14.85546875" customWidth="1"/>
    <col min="15881" max="15881" width="11.140625" customWidth="1"/>
    <col min="15882" max="15882" width="14.85546875" customWidth="1"/>
    <col min="15883" max="15883" width="15.85546875" customWidth="1"/>
    <col min="15884" max="15884" width="13.42578125" customWidth="1"/>
    <col min="15885" max="15885" width="18.140625" customWidth="1"/>
    <col min="15886" max="15886" width="13.42578125" customWidth="1"/>
    <col min="15887" max="15887" width="13.7109375" customWidth="1"/>
    <col min="15888" max="15888" width="18.140625" customWidth="1"/>
    <col min="15889" max="15889" width="13.42578125" customWidth="1"/>
    <col min="15890" max="15890" width="13.28515625" customWidth="1"/>
    <col min="15891" max="15891" width="13.5703125" customWidth="1"/>
    <col min="16129" max="16129" width="72.7109375" customWidth="1"/>
    <col min="16130" max="16130" width="18.7109375" customWidth="1"/>
    <col min="16131" max="16131" width="11.140625" customWidth="1"/>
    <col min="16132" max="16132" width="17.85546875" customWidth="1"/>
    <col min="16133" max="16133" width="15.42578125" customWidth="1"/>
    <col min="16134" max="16134" width="11.7109375" customWidth="1"/>
    <col min="16135" max="16135" width="13.5703125" customWidth="1"/>
    <col min="16136" max="16136" width="14.85546875" customWidth="1"/>
    <col min="16137" max="16137" width="11.140625" customWidth="1"/>
    <col min="16138" max="16138" width="14.85546875" customWidth="1"/>
    <col min="16139" max="16139" width="15.85546875" customWidth="1"/>
    <col min="16140" max="16140" width="13.42578125" customWidth="1"/>
    <col min="16141" max="16141" width="18.140625" customWidth="1"/>
    <col min="16142" max="16142" width="13.42578125" customWidth="1"/>
    <col min="16143" max="16143" width="13.7109375" customWidth="1"/>
    <col min="16144" max="16144" width="18.140625" customWidth="1"/>
    <col min="16145" max="16145" width="13.42578125" customWidth="1"/>
    <col min="16146" max="16146" width="13.28515625" customWidth="1"/>
    <col min="16147" max="16147" width="13.5703125" customWidth="1"/>
  </cols>
  <sheetData>
    <row r="1" spans="1:20" ht="24.95" customHeight="1" x14ac:dyDescent="0.35">
      <c r="A1" s="26"/>
      <c r="B1" s="27"/>
      <c r="C1" s="28"/>
      <c r="D1" s="204" t="s">
        <v>62</v>
      </c>
      <c r="E1" s="28"/>
      <c r="F1" s="28"/>
      <c r="G1" s="28"/>
      <c r="H1" s="28"/>
      <c r="I1" s="28"/>
      <c r="J1" s="28"/>
      <c r="K1" s="28"/>
      <c r="L1" s="28"/>
      <c r="M1" s="29"/>
      <c r="N1" s="29"/>
      <c r="O1" s="30"/>
      <c r="P1" s="26"/>
    </row>
    <row r="2" spans="1:20" ht="24.95" customHeight="1" x14ac:dyDescent="0.35">
      <c r="A2" s="26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0"/>
      <c r="N2" s="30"/>
      <c r="O2" s="30"/>
      <c r="P2" s="26"/>
    </row>
    <row r="3" spans="1:20" ht="24.95" customHeight="1" x14ac:dyDescent="0.4">
      <c r="A3" s="26"/>
      <c r="B3" s="31" t="s">
        <v>55</v>
      </c>
      <c r="C3" s="32"/>
      <c r="D3" s="31"/>
      <c r="E3" s="31"/>
      <c r="F3" s="31"/>
      <c r="G3" s="31"/>
      <c r="H3" s="31"/>
      <c r="I3" s="31"/>
      <c r="J3" s="31"/>
      <c r="K3" s="31"/>
      <c r="L3" s="31"/>
      <c r="M3" s="33"/>
      <c r="N3" s="30"/>
      <c r="P3" s="26"/>
    </row>
    <row r="4" spans="1:20" ht="30" customHeight="1" thickBot="1" x14ac:dyDescent="0.35">
      <c r="A4" s="34"/>
      <c r="B4" s="34"/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</row>
    <row r="5" spans="1:20" ht="30" customHeight="1" thickTop="1" x14ac:dyDescent="0.35">
      <c r="A5" s="35"/>
      <c r="B5" s="35"/>
      <c r="C5" s="36"/>
      <c r="D5" s="36"/>
      <c r="E5" s="35"/>
      <c r="F5" s="36"/>
      <c r="G5" s="36"/>
      <c r="H5" s="35"/>
      <c r="I5" s="120"/>
      <c r="J5" s="36"/>
      <c r="K5" s="35"/>
      <c r="L5" s="36"/>
      <c r="M5" s="36"/>
      <c r="N5" s="35"/>
      <c r="O5" s="36"/>
      <c r="P5" s="36"/>
      <c r="Q5" s="35"/>
      <c r="R5" s="36"/>
      <c r="S5" s="36"/>
      <c r="T5" s="37"/>
    </row>
    <row r="6" spans="1:20" ht="30" customHeight="1" x14ac:dyDescent="0.35">
      <c r="A6" s="38"/>
      <c r="B6" s="211" t="s">
        <v>34</v>
      </c>
      <c r="C6" s="212"/>
      <c r="D6" s="213"/>
      <c r="E6" s="211" t="s">
        <v>40</v>
      </c>
      <c r="F6" s="212"/>
      <c r="G6" s="213"/>
      <c r="H6" s="211" t="s">
        <v>23</v>
      </c>
      <c r="I6" s="212"/>
      <c r="J6" s="213"/>
      <c r="K6" s="211" t="s">
        <v>25</v>
      </c>
      <c r="L6" s="212"/>
      <c r="M6" s="213"/>
      <c r="N6" s="211" t="s">
        <v>41</v>
      </c>
      <c r="O6" s="212"/>
      <c r="P6" s="213"/>
      <c r="Q6" s="211" t="s">
        <v>42</v>
      </c>
      <c r="R6" s="212"/>
      <c r="S6" s="213"/>
      <c r="T6" s="37"/>
    </row>
    <row r="7" spans="1:20" ht="30" customHeight="1" x14ac:dyDescent="0.35">
      <c r="A7" s="39" t="s">
        <v>43</v>
      </c>
      <c r="B7" s="40"/>
      <c r="C7" s="41"/>
      <c r="D7" s="41"/>
      <c r="E7" s="40"/>
      <c r="F7" s="41"/>
      <c r="G7" s="41"/>
      <c r="H7" s="40"/>
      <c r="I7" s="41"/>
      <c r="J7" s="41"/>
      <c r="K7" s="40"/>
      <c r="L7" s="41"/>
      <c r="M7" s="41"/>
      <c r="N7" s="40"/>
      <c r="O7" s="41"/>
      <c r="P7" s="41"/>
      <c r="Q7" s="40"/>
      <c r="R7" s="41"/>
      <c r="S7" s="41"/>
      <c r="T7" s="42"/>
    </row>
    <row r="8" spans="1:20" ht="30" customHeight="1" x14ac:dyDescent="0.35">
      <c r="A8" s="39"/>
      <c r="B8" s="43" t="s">
        <v>5</v>
      </c>
      <c r="C8" s="44" t="s">
        <v>6</v>
      </c>
      <c r="D8" s="44" t="s">
        <v>7</v>
      </c>
      <c r="E8" s="43" t="s">
        <v>5</v>
      </c>
      <c r="F8" s="44" t="s">
        <v>6</v>
      </c>
      <c r="G8" s="44" t="s">
        <v>7</v>
      </c>
      <c r="H8" s="43" t="s">
        <v>5</v>
      </c>
      <c r="I8" s="44" t="s">
        <v>6</v>
      </c>
      <c r="J8" s="44" t="s">
        <v>7</v>
      </c>
      <c r="K8" s="43" t="s">
        <v>5</v>
      </c>
      <c r="L8" s="44" t="s">
        <v>6</v>
      </c>
      <c r="M8" s="44" t="s">
        <v>7</v>
      </c>
      <c r="N8" s="43" t="s">
        <v>5</v>
      </c>
      <c r="O8" s="44" t="s">
        <v>6</v>
      </c>
      <c r="P8" s="44" t="s">
        <v>7</v>
      </c>
      <c r="Q8" s="43" t="s">
        <v>5</v>
      </c>
      <c r="R8" s="44" t="s">
        <v>6</v>
      </c>
      <c r="S8" s="44" t="s">
        <v>7</v>
      </c>
      <c r="T8" s="37"/>
    </row>
    <row r="9" spans="1:20" ht="30" customHeight="1" x14ac:dyDescent="0.35">
      <c r="A9" s="39" t="s">
        <v>0</v>
      </c>
      <c r="B9" s="39" t="s">
        <v>8</v>
      </c>
      <c r="C9" s="114" t="s">
        <v>9</v>
      </c>
      <c r="D9" s="114" t="s">
        <v>10</v>
      </c>
      <c r="E9" s="39" t="s">
        <v>8</v>
      </c>
      <c r="F9" s="114" t="s">
        <v>9</v>
      </c>
      <c r="G9" s="114" t="s">
        <v>10</v>
      </c>
      <c r="H9" s="39" t="s">
        <v>8</v>
      </c>
      <c r="I9" s="114" t="s">
        <v>9</v>
      </c>
      <c r="J9" s="114" t="s">
        <v>10</v>
      </c>
      <c r="K9" s="39" t="s">
        <v>8</v>
      </c>
      <c r="L9" s="114" t="s">
        <v>9</v>
      </c>
      <c r="M9" s="114" t="s">
        <v>10</v>
      </c>
      <c r="N9" s="39" t="s">
        <v>8</v>
      </c>
      <c r="O9" s="114" t="s">
        <v>9</v>
      </c>
      <c r="P9" s="114" t="s">
        <v>10</v>
      </c>
      <c r="Q9" s="39" t="s">
        <v>8</v>
      </c>
      <c r="R9" s="114" t="s">
        <v>9</v>
      </c>
      <c r="S9" s="114" t="s">
        <v>10</v>
      </c>
      <c r="T9" s="37"/>
    </row>
    <row r="10" spans="1:20" ht="30" customHeight="1" x14ac:dyDescent="0.35">
      <c r="A10" s="45"/>
      <c r="B10" s="46"/>
      <c r="C10" s="47"/>
      <c r="D10" s="47"/>
      <c r="E10" s="46"/>
      <c r="F10" s="47"/>
      <c r="G10" s="47"/>
      <c r="H10" s="46"/>
      <c r="I10" s="47"/>
      <c r="J10" s="47"/>
      <c r="K10" s="46"/>
      <c r="L10" s="47"/>
      <c r="M10" s="47"/>
      <c r="N10" s="46"/>
      <c r="O10" s="47"/>
      <c r="P10" s="47"/>
      <c r="Q10" s="46"/>
      <c r="R10" s="47"/>
      <c r="S10" s="47"/>
      <c r="T10" s="37"/>
    </row>
    <row r="11" spans="1:20" ht="30" customHeight="1" x14ac:dyDescent="0.35">
      <c r="A11" s="39" t="s">
        <v>44</v>
      </c>
      <c r="B11" s="48">
        <v>857.11256848777782</v>
      </c>
      <c r="C11" s="50">
        <v>650</v>
      </c>
      <c r="D11" s="51">
        <v>557.12316951705566</v>
      </c>
      <c r="E11" s="48"/>
      <c r="F11" s="50"/>
      <c r="G11" s="51"/>
      <c r="H11" s="48">
        <v>220.66664912833335</v>
      </c>
      <c r="I11" s="50">
        <v>400</v>
      </c>
      <c r="J11" s="51">
        <v>88.266659651333342</v>
      </c>
      <c r="K11" s="48">
        <v>456.3646619081199</v>
      </c>
      <c r="L11" s="50">
        <v>7000</v>
      </c>
      <c r="M11" s="51">
        <v>3194.5526333568396</v>
      </c>
      <c r="N11" s="48">
        <v>165.12158967013889</v>
      </c>
      <c r="O11" s="50">
        <v>13475</v>
      </c>
      <c r="P11" s="51">
        <v>2225.0134208051213</v>
      </c>
      <c r="Q11" s="48"/>
      <c r="R11" s="50"/>
      <c r="S11" s="51"/>
      <c r="T11" s="37"/>
    </row>
    <row r="12" spans="1:20" ht="30" customHeight="1" x14ac:dyDescent="0.35">
      <c r="A12" s="39" t="s">
        <v>11</v>
      </c>
      <c r="B12" s="48">
        <v>70971.407394019363</v>
      </c>
      <c r="C12" s="49">
        <v>859.57866564668473</v>
      </c>
      <c r="D12" s="51">
        <v>61005.507666818419</v>
      </c>
      <c r="E12" s="48"/>
      <c r="F12" s="49"/>
      <c r="G12" s="51"/>
      <c r="H12" s="48">
        <v>36071.365068952684</v>
      </c>
      <c r="I12" s="49">
        <v>449.46549740942208</v>
      </c>
      <c r="J12" s="51">
        <v>16212.834042953671</v>
      </c>
      <c r="K12" s="52">
        <v>12637.93824069935</v>
      </c>
      <c r="L12" s="53">
        <v>8531.5845991158731</v>
      </c>
      <c r="M12" s="53">
        <v>107821.63925892813</v>
      </c>
      <c r="N12" s="48">
        <v>12375.963404866376</v>
      </c>
      <c r="O12" s="49">
        <v>10731.301331143817</v>
      </c>
      <c r="P12" s="51">
        <v>132810.19256082969</v>
      </c>
      <c r="Q12" s="48">
        <v>1960.0813744786444</v>
      </c>
      <c r="R12" s="49">
        <v>459.16935382762745</v>
      </c>
      <c r="S12" s="49">
        <v>900.0092981689271</v>
      </c>
      <c r="T12" s="37"/>
    </row>
    <row r="13" spans="1:20" ht="30" customHeight="1" x14ac:dyDescent="0.35">
      <c r="A13" s="39" t="s">
        <v>12</v>
      </c>
      <c r="B13" s="48">
        <v>185896.22126736102</v>
      </c>
      <c r="C13" s="49">
        <v>1249.260706676662</v>
      </c>
      <c r="D13" s="49">
        <v>232232.84474898456</v>
      </c>
      <c r="E13" s="48"/>
      <c r="F13" s="49"/>
      <c r="G13" s="49"/>
      <c r="H13" s="48">
        <v>25157.920707826415</v>
      </c>
      <c r="I13" s="49">
        <v>667.00031417677826</v>
      </c>
      <c r="J13" s="49">
        <v>16780.341016154696</v>
      </c>
      <c r="K13" s="48">
        <v>4671.0565883750405</v>
      </c>
      <c r="L13" s="49">
        <v>10585.081010768519</v>
      </c>
      <c r="M13" s="49">
        <v>49443.512393833822</v>
      </c>
      <c r="N13" s="48">
        <v>7515.0006802723983</v>
      </c>
      <c r="O13" s="49">
        <v>13362.502788028925</v>
      </c>
      <c r="P13" s="49">
        <v>100419.21754217919</v>
      </c>
      <c r="Q13" s="48">
        <v>3768.9978790555551</v>
      </c>
      <c r="R13" s="49">
        <v>738.2350770186689</v>
      </c>
      <c r="S13" s="49">
        <v>2782.4064395277774</v>
      </c>
      <c r="T13" s="37"/>
    </row>
    <row r="14" spans="1:20" ht="30" customHeight="1" x14ac:dyDescent="0.35">
      <c r="A14" s="39" t="s">
        <v>13</v>
      </c>
      <c r="B14" s="52">
        <v>186151.82977972832</v>
      </c>
      <c r="C14" s="53">
        <v>1350.4523449017029</v>
      </c>
      <c r="D14" s="53">
        <v>251389.17503377676</v>
      </c>
      <c r="E14" s="48"/>
      <c r="F14" s="49"/>
      <c r="G14" s="51"/>
      <c r="H14" s="52">
        <v>3231.3960405055122</v>
      </c>
      <c r="I14" s="53">
        <v>702.28377797605003</v>
      </c>
      <c r="J14" s="53">
        <v>2269.3570194630602</v>
      </c>
      <c r="K14" s="52">
        <v>6904.1991980469902</v>
      </c>
      <c r="L14" s="53">
        <v>20265.086084503004</v>
      </c>
      <c r="M14" s="53">
        <v>139914.19109297887</v>
      </c>
      <c r="N14" s="52">
        <v>15102.2701041949</v>
      </c>
      <c r="O14" s="53">
        <v>22343.879655802597</v>
      </c>
      <c r="P14" s="53">
        <v>337443.30573755619</v>
      </c>
      <c r="Q14" s="52">
        <v>1560.4499999999998</v>
      </c>
      <c r="R14" s="53">
        <v>632.13496106892251</v>
      </c>
      <c r="S14" s="53">
        <v>986.41499999999996</v>
      </c>
      <c r="T14" s="37"/>
    </row>
    <row r="15" spans="1:20" ht="30" customHeight="1" x14ac:dyDescent="0.35">
      <c r="A15" s="39" t="s">
        <v>45</v>
      </c>
      <c r="B15" s="48">
        <v>123376.5720911205</v>
      </c>
      <c r="C15" s="49">
        <v>2104.3341144590049</v>
      </c>
      <c r="D15" s="49">
        <v>259625.52957635568</v>
      </c>
      <c r="E15" s="48">
        <v>9448</v>
      </c>
      <c r="F15" s="49">
        <v>751.63209144792552</v>
      </c>
      <c r="G15" s="51">
        <v>7101.42</v>
      </c>
      <c r="H15" s="48">
        <v>1755.8987151219185</v>
      </c>
      <c r="I15" s="49">
        <v>648.79837257287397</v>
      </c>
      <c r="J15" s="49">
        <v>1139.2242287739011</v>
      </c>
      <c r="K15" s="48">
        <v>1299.1504644684617</v>
      </c>
      <c r="L15" s="49">
        <v>9895.9657267009097</v>
      </c>
      <c r="M15" s="49">
        <v>12856.348470207464</v>
      </c>
      <c r="N15" s="48">
        <v>906.23587164560104</v>
      </c>
      <c r="O15" s="49">
        <v>13503.29642144774</v>
      </c>
      <c r="P15" s="49">
        <v>12237.171602579618</v>
      </c>
      <c r="Q15" s="48">
        <v>4133.9500000000007</v>
      </c>
      <c r="R15" s="49">
        <v>773.01188935521691</v>
      </c>
      <c r="S15" s="49">
        <v>3195.5924999999997</v>
      </c>
      <c r="T15" s="37"/>
    </row>
    <row r="16" spans="1:20" ht="30" customHeight="1" x14ac:dyDescent="0.35">
      <c r="A16" s="39" t="s">
        <v>15</v>
      </c>
      <c r="B16" s="48">
        <v>122391.28578502056</v>
      </c>
      <c r="C16" s="49">
        <v>827.85207599940929</v>
      </c>
      <c r="D16" s="51">
        <v>101321.88002136626</v>
      </c>
      <c r="E16" s="48"/>
      <c r="F16" s="49"/>
      <c r="G16" s="51"/>
      <c r="H16" s="48">
        <v>170731.83912012016</v>
      </c>
      <c r="I16" s="49">
        <v>764.76597368744672</v>
      </c>
      <c r="J16" s="51">
        <v>130569.90118414719</v>
      </c>
      <c r="K16" s="48">
        <v>5762.4038576757703</v>
      </c>
      <c r="L16" s="49">
        <v>11621.471631074966</v>
      </c>
      <c r="M16" s="51">
        <v>66967.612958775906</v>
      </c>
      <c r="N16" s="48">
        <v>21560.582733924522</v>
      </c>
      <c r="O16" s="49">
        <v>10248.914111582904</v>
      </c>
      <c r="P16" s="51">
        <v>220972.56063566974</v>
      </c>
      <c r="Q16" s="48">
        <v>40.924999999999997</v>
      </c>
      <c r="R16" s="49">
        <v>519.39645693341481</v>
      </c>
      <c r="S16" s="51">
        <v>21.256300000000003</v>
      </c>
      <c r="T16" s="37"/>
    </row>
    <row r="17" spans="1:20" ht="30" customHeight="1" x14ac:dyDescent="0.35">
      <c r="A17" s="39" t="s">
        <v>16</v>
      </c>
      <c r="B17" s="48">
        <v>12411.613833372105</v>
      </c>
      <c r="C17" s="54">
        <v>558.34226293780932</v>
      </c>
      <c r="D17" s="50">
        <v>6929.9285544351997</v>
      </c>
      <c r="E17" s="48"/>
      <c r="F17" s="49"/>
      <c r="G17" s="51"/>
      <c r="H17" s="48">
        <v>7991.1277367264411</v>
      </c>
      <c r="I17" s="54">
        <v>558.14839799050833</v>
      </c>
      <c r="J17" s="50">
        <v>4460.2351443913794</v>
      </c>
      <c r="K17" s="48">
        <v>1753.220291854416</v>
      </c>
      <c r="L17" s="54">
        <v>32162.201070919502</v>
      </c>
      <c r="M17" s="50">
        <v>56387.423548237894</v>
      </c>
      <c r="N17" s="48">
        <v>3431.6729964417127</v>
      </c>
      <c r="O17" s="54">
        <v>16627.209283083514</v>
      </c>
      <c r="P17" s="50">
        <v>57059.145102942661</v>
      </c>
      <c r="Q17" s="48"/>
      <c r="R17" s="54"/>
      <c r="S17" s="50"/>
      <c r="T17" s="37"/>
    </row>
    <row r="18" spans="1:20" ht="30" customHeight="1" x14ac:dyDescent="0.35">
      <c r="A18" s="39" t="s">
        <v>46</v>
      </c>
      <c r="B18" s="48">
        <v>116388.58137116602</v>
      </c>
      <c r="C18" s="54">
        <v>1418.6294233308752</v>
      </c>
      <c r="D18" s="50">
        <v>165112.26607287588</v>
      </c>
      <c r="E18" s="48">
        <v>3645.5</v>
      </c>
      <c r="F18" s="49">
        <v>938.93018790289398</v>
      </c>
      <c r="G18" s="51">
        <v>3422.87</v>
      </c>
      <c r="H18" s="48">
        <v>5869.715927007448</v>
      </c>
      <c r="I18" s="54">
        <v>1097.308556709751</v>
      </c>
      <c r="J18" s="50">
        <v>6440.8895121607802</v>
      </c>
      <c r="K18" s="48">
        <v>786.53350333279468</v>
      </c>
      <c r="L18" s="54">
        <v>11219.449617539489</v>
      </c>
      <c r="M18" s="50">
        <v>8824.4730131491178</v>
      </c>
      <c r="N18" s="48">
        <v>5273.1462671369245</v>
      </c>
      <c r="O18" s="54">
        <v>16345.151915397566</v>
      </c>
      <c r="P18" s="50">
        <v>86190.376808464629</v>
      </c>
      <c r="Q18" s="48">
        <v>4945.5715963159028</v>
      </c>
      <c r="R18" s="49">
        <v>1270.7740169771578</v>
      </c>
      <c r="S18" s="49">
        <v>6284.7038836984939</v>
      </c>
      <c r="T18" s="37"/>
    </row>
    <row r="19" spans="1:20" ht="30" customHeight="1" x14ac:dyDescent="0.35">
      <c r="A19" s="39" t="s">
        <v>39</v>
      </c>
      <c r="B19" s="48">
        <v>90291.576295941733</v>
      </c>
      <c r="C19" s="54">
        <v>947.20272934518016</v>
      </c>
      <c r="D19" s="50">
        <v>85524.427504394582</v>
      </c>
      <c r="E19" s="48"/>
      <c r="F19" s="49"/>
      <c r="G19" s="51"/>
      <c r="H19" s="48">
        <v>45994.626299999996</v>
      </c>
      <c r="I19" s="54">
        <v>745.17086925000194</v>
      </c>
      <c r="J19" s="50">
        <v>34273.8556608</v>
      </c>
      <c r="K19" s="48">
        <v>59449.200000000004</v>
      </c>
      <c r="L19" s="54">
        <v>15208.875252596616</v>
      </c>
      <c r="M19" s="50">
        <v>904155.46666666679</v>
      </c>
      <c r="N19" s="48">
        <v>3500.5450130532163</v>
      </c>
      <c r="O19" s="54">
        <v>7874.1117571129344</v>
      </c>
      <c r="P19" s="50">
        <v>27563.68264358538</v>
      </c>
      <c r="Q19" s="48">
        <v>255.39101976822221</v>
      </c>
      <c r="R19" s="54">
        <v>562.12962398813625</v>
      </c>
      <c r="S19" s="50">
        <v>143.56285791225741</v>
      </c>
      <c r="T19" s="37"/>
    </row>
    <row r="20" spans="1:20" ht="30" customHeight="1" x14ac:dyDescent="0.35">
      <c r="A20" s="39" t="s">
        <v>47</v>
      </c>
      <c r="B20" s="48">
        <v>30778.82521073096</v>
      </c>
      <c r="C20" s="54">
        <v>1385.5340928231874</v>
      </c>
      <c r="D20" s="50">
        <v>42645.111666513571</v>
      </c>
      <c r="E20" s="48"/>
      <c r="F20" s="49"/>
      <c r="G20" s="51"/>
      <c r="H20" s="48">
        <v>1489.5495966360386</v>
      </c>
      <c r="I20" s="54">
        <v>480.44567741055693</v>
      </c>
      <c r="J20" s="50">
        <v>715.64766499242342</v>
      </c>
      <c r="K20" s="48">
        <v>1338.8873043972303</v>
      </c>
      <c r="L20" s="54">
        <v>11245.876444453543</v>
      </c>
      <c r="M20" s="50">
        <v>15056.961198298713</v>
      </c>
      <c r="N20" s="48">
        <v>8797.085479908259</v>
      </c>
      <c r="O20" s="54">
        <v>14569.641707260986</v>
      </c>
      <c r="P20" s="50">
        <v>128170.3835104114</v>
      </c>
      <c r="Q20" s="48">
        <v>1008.9155672093021</v>
      </c>
      <c r="R20" s="54">
        <v>630.59906998085751</v>
      </c>
      <c r="S20" s="50">
        <v>636.22121837139525</v>
      </c>
      <c r="T20" s="37"/>
    </row>
    <row r="21" spans="1:20" ht="30" customHeight="1" x14ac:dyDescent="0.35">
      <c r="A21" s="39" t="s">
        <v>17</v>
      </c>
      <c r="B21" s="48">
        <v>2699.5210823199477</v>
      </c>
      <c r="C21" s="54">
        <v>619.30202743828852</v>
      </c>
      <c r="D21" s="50">
        <v>1671.8188793931467</v>
      </c>
      <c r="E21" s="48"/>
      <c r="F21" s="49"/>
      <c r="G21" s="51"/>
      <c r="H21" s="48">
        <v>8035.2001032131293</v>
      </c>
      <c r="I21" s="54">
        <v>304.94980775768471</v>
      </c>
      <c r="J21" s="50">
        <v>2450.3327267693721</v>
      </c>
      <c r="K21" s="48">
        <v>346.16666666666669</v>
      </c>
      <c r="L21" s="54">
        <v>10928.743379874821</v>
      </c>
      <c r="M21" s="50">
        <v>3783.166666666667</v>
      </c>
      <c r="N21" s="48">
        <v>2046.7355648794992</v>
      </c>
      <c r="O21" s="54">
        <v>8427.248745887935</v>
      </c>
      <c r="P21" s="50">
        <v>17248.349722294995</v>
      </c>
      <c r="Q21" s="48"/>
      <c r="R21" s="54"/>
      <c r="S21" s="50"/>
      <c r="T21" s="37"/>
    </row>
    <row r="22" spans="1:20" ht="30" customHeight="1" x14ac:dyDescent="0.35">
      <c r="A22" s="39" t="s">
        <v>37</v>
      </c>
      <c r="B22" s="48">
        <v>235481.2441448934</v>
      </c>
      <c r="C22" s="54">
        <v>1529.0789023660991</v>
      </c>
      <c r="D22" s="50">
        <v>360069.40232487698</v>
      </c>
      <c r="E22" s="48">
        <v>269.7</v>
      </c>
      <c r="F22" s="49">
        <v>474.67927326659247</v>
      </c>
      <c r="G22" s="51">
        <v>128.02099999999999</v>
      </c>
      <c r="H22" s="48">
        <v>2694.1132018722942</v>
      </c>
      <c r="I22" s="49">
        <v>867.02495859355361</v>
      </c>
      <c r="J22" s="49">
        <v>2335.863387299672</v>
      </c>
      <c r="K22" s="48">
        <v>601.94481196775723</v>
      </c>
      <c r="L22" s="54">
        <v>11112.432622502689</v>
      </c>
      <c r="M22" s="50">
        <v>6689.0711654567531</v>
      </c>
      <c r="N22" s="48">
        <v>9239.993613225055</v>
      </c>
      <c r="O22" s="54">
        <v>24361.931377142784</v>
      </c>
      <c r="P22" s="50">
        <v>225104.09033062641</v>
      </c>
      <c r="Q22" s="48">
        <v>37397.529217020383</v>
      </c>
      <c r="R22" s="54">
        <v>1101.0988468344381</v>
      </c>
      <c r="S22" s="50">
        <v>41178.376295318347</v>
      </c>
      <c r="T22" s="37"/>
    </row>
    <row r="23" spans="1:20" ht="30" customHeight="1" x14ac:dyDescent="0.35">
      <c r="A23" s="39" t="s">
        <v>18</v>
      </c>
      <c r="B23" s="48">
        <v>10850.411477932332</v>
      </c>
      <c r="C23" s="54">
        <v>1153.6522261960374</v>
      </c>
      <c r="D23" s="195">
        <v>12517.60135665967</v>
      </c>
      <c r="E23" s="48">
        <v>2091</v>
      </c>
      <c r="F23" s="49">
        <v>1118.5829746532759</v>
      </c>
      <c r="G23" s="51">
        <v>2338.9569999999999</v>
      </c>
      <c r="H23" s="48">
        <v>685.8691804063692</v>
      </c>
      <c r="I23" s="49">
        <v>611</v>
      </c>
      <c r="J23" s="50">
        <v>419.06606922829155</v>
      </c>
      <c r="K23" s="48">
        <v>124.17777777777778</v>
      </c>
      <c r="L23" s="49">
        <v>18000</v>
      </c>
      <c r="M23" s="49">
        <v>2235.1999999999998</v>
      </c>
      <c r="N23" s="48"/>
      <c r="O23" s="54"/>
      <c r="P23" s="50"/>
      <c r="Q23" s="48"/>
      <c r="R23" s="54"/>
      <c r="S23" s="50"/>
      <c r="T23" s="37"/>
    </row>
    <row r="24" spans="1:20" ht="30" customHeight="1" x14ac:dyDescent="0.35">
      <c r="A24" s="39" t="s">
        <v>48</v>
      </c>
      <c r="B24" s="48">
        <v>64980.4921875</v>
      </c>
      <c r="C24" s="55">
        <v>1457.7636793383783</v>
      </c>
      <c r="D24" s="49">
        <v>94726.201376468744</v>
      </c>
      <c r="E24" s="48"/>
      <c r="F24" s="55"/>
      <c r="G24" s="49"/>
      <c r="H24" s="48">
        <v>3544.8022557177883</v>
      </c>
      <c r="I24" s="55">
        <v>1027.3327972571753</v>
      </c>
      <c r="J24" s="49">
        <v>3641.6916170901</v>
      </c>
      <c r="K24" s="48">
        <v>665.41239400493487</v>
      </c>
      <c r="L24" s="55">
        <v>17148.614807348509</v>
      </c>
      <c r="M24" s="49">
        <v>11410.900832826246</v>
      </c>
      <c r="N24" s="48">
        <v>2099.7995929455883</v>
      </c>
      <c r="O24" s="55">
        <v>17711.858117339278</v>
      </c>
      <c r="P24" s="49">
        <v>37191.352465099029</v>
      </c>
      <c r="Q24" s="48">
        <v>3645.3718274187427</v>
      </c>
      <c r="R24" s="55">
        <v>1071.8693216137547</v>
      </c>
      <c r="S24" s="49">
        <v>3907.3622276852207</v>
      </c>
      <c r="T24" s="37"/>
    </row>
    <row r="25" spans="1:20" ht="30" customHeight="1" x14ac:dyDescent="0.35">
      <c r="A25" s="56"/>
      <c r="B25" s="56"/>
      <c r="C25" s="57"/>
      <c r="D25" s="57"/>
      <c r="E25" s="56"/>
      <c r="F25" s="57"/>
      <c r="G25" s="57"/>
      <c r="H25" s="56"/>
      <c r="I25" s="57"/>
      <c r="J25" s="57"/>
      <c r="K25" s="56"/>
      <c r="L25" s="57"/>
      <c r="M25" s="57"/>
      <c r="N25" s="56"/>
      <c r="O25" s="57"/>
      <c r="P25" s="57"/>
      <c r="Q25" s="56"/>
      <c r="R25" s="57"/>
      <c r="S25" s="57"/>
      <c r="T25" s="37"/>
    </row>
    <row r="26" spans="1:20" ht="30" customHeight="1" x14ac:dyDescent="0.35">
      <c r="A26" s="39" t="s">
        <v>61</v>
      </c>
      <c r="B26" s="38">
        <v>1253526.6944895941</v>
      </c>
      <c r="C26" s="51">
        <v>1336.4923342415059</v>
      </c>
      <c r="D26" s="119">
        <v>1675328.8179524366</v>
      </c>
      <c r="E26" s="38">
        <v>15454.2</v>
      </c>
      <c r="F26" s="51">
        <v>840.63024938204512</v>
      </c>
      <c r="G26" s="51">
        <v>12991.268000000002</v>
      </c>
      <c r="H26" s="38">
        <v>313474.09060323454</v>
      </c>
      <c r="I26" s="51">
        <v>707.5465328157087</v>
      </c>
      <c r="J26" s="51">
        <v>221797.50593387592</v>
      </c>
      <c r="K26" s="38">
        <v>96796.655761175309</v>
      </c>
      <c r="L26" s="51">
        <v>14346.988632807712</v>
      </c>
      <c r="M26" s="51">
        <v>1388740.5198993832</v>
      </c>
      <c r="N26" s="38">
        <v>92014.152912164209</v>
      </c>
      <c r="O26" s="51">
        <v>15048.063784326774</v>
      </c>
      <c r="P26" s="51">
        <v>1384634.8420830441</v>
      </c>
      <c r="Q26" s="38">
        <v>58717.183481266751</v>
      </c>
      <c r="R26" s="51">
        <v>1022.4588861595582</v>
      </c>
      <c r="S26" s="51">
        <v>60035.906020682414</v>
      </c>
      <c r="T26" s="37"/>
    </row>
    <row r="27" spans="1:20" ht="30" customHeight="1" x14ac:dyDescent="0.35">
      <c r="A27" s="58"/>
      <c r="B27" s="58"/>
      <c r="C27" s="59"/>
      <c r="D27" s="59"/>
      <c r="E27" s="58"/>
      <c r="F27" s="59"/>
      <c r="G27" s="59"/>
      <c r="H27" s="58"/>
      <c r="I27" s="59"/>
      <c r="J27" s="59"/>
      <c r="K27" s="58"/>
      <c r="L27" s="59"/>
      <c r="M27" s="59"/>
      <c r="N27" s="58"/>
      <c r="O27" s="59"/>
      <c r="P27" s="59"/>
      <c r="Q27" s="58"/>
      <c r="R27" s="59"/>
      <c r="S27" s="60"/>
      <c r="T27" s="37"/>
    </row>
    <row r="28" spans="1:20" ht="30" customHeight="1" x14ac:dyDescent="0.35">
      <c r="A28" s="56"/>
      <c r="B28" s="56"/>
      <c r="C28" s="57"/>
      <c r="D28" s="57"/>
      <c r="E28" s="56"/>
      <c r="F28" s="57"/>
      <c r="G28" s="57"/>
      <c r="H28" s="56"/>
      <c r="I28" s="57"/>
      <c r="J28" s="57"/>
      <c r="K28" s="56"/>
      <c r="L28" s="57"/>
      <c r="M28" s="57"/>
      <c r="N28" s="56"/>
      <c r="O28" s="57"/>
      <c r="P28" s="57"/>
      <c r="Q28" s="56"/>
      <c r="R28" s="57"/>
      <c r="S28" s="57"/>
      <c r="T28" s="37"/>
    </row>
    <row r="29" spans="1:20" ht="30" customHeight="1" x14ac:dyDescent="0.35">
      <c r="A29" s="39" t="s">
        <v>60</v>
      </c>
      <c r="B29" s="38">
        <v>1225171.8750953602</v>
      </c>
      <c r="C29" s="51">
        <v>1225.5410300995732</v>
      </c>
      <c r="D29" s="51">
        <v>1501498.4018533935</v>
      </c>
      <c r="E29" s="38">
        <v>17390.5</v>
      </c>
      <c r="F29" s="51">
        <v>901</v>
      </c>
      <c r="G29" s="51">
        <v>15667.3</v>
      </c>
      <c r="H29" s="38">
        <v>293854.40928659413</v>
      </c>
      <c r="I29" s="51">
        <v>517.97947016357591</v>
      </c>
      <c r="J29" s="119">
        <v>152210.5512275006</v>
      </c>
      <c r="K29" s="38">
        <v>96745.875730116488</v>
      </c>
      <c r="L29" s="51">
        <v>13672.960571852753</v>
      </c>
      <c r="M29" s="51">
        <v>1322802.544347249</v>
      </c>
      <c r="N29" s="38">
        <v>89554.641532399866</v>
      </c>
      <c r="O29" s="51">
        <v>16667.200264303923</v>
      </c>
      <c r="P29" s="51">
        <v>1492625.1450184579</v>
      </c>
      <c r="Q29" s="38">
        <v>45521.846542182866</v>
      </c>
      <c r="R29" s="51">
        <v>887.51006260255656</v>
      </c>
      <c r="S29" s="51">
        <v>40401.096874436691</v>
      </c>
      <c r="T29" s="37"/>
    </row>
    <row r="30" spans="1:20" ht="30" customHeight="1" x14ac:dyDescent="0.35">
      <c r="A30" s="58"/>
      <c r="B30" s="58"/>
      <c r="C30" s="59"/>
      <c r="D30" s="59"/>
      <c r="E30" s="58"/>
      <c r="F30" s="59"/>
      <c r="G30" s="59"/>
      <c r="H30" s="58"/>
      <c r="I30" s="59"/>
      <c r="J30" s="59"/>
      <c r="K30" s="58"/>
      <c r="L30" s="59"/>
      <c r="M30" s="59"/>
      <c r="N30" s="58"/>
      <c r="O30" s="59"/>
      <c r="P30" s="59"/>
      <c r="Q30" s="58"/>
      <c r="R30" s="59"/>
      <c r="S30" s="60"/>
      <c r="T30" s="37"/>
    </row>
    <row r="31" spans="1:20" ht="30" customHeight="1" x14ac:dyDescent="0.35">
      <c r="A31" s="61"/>
      <c r="B31" s="56"/>
      <c r="C31" s="57"/>
      <c r="D31" s="57"/>
      <c r="E31" s="56"/>
      <c r="F31" s="57"/>
      <c r="G31" s="57"/>
      <c r="H31" s="56"/>
      <c r="I31" s="57"/>
      <c r="J31" s="57"/>
      <c r="K31" s="56"/>
      <c r="L31" s="57"/>
      <c r="M31" s="57"/>
      <c r="N31" s="56"/>
      <c r="O31" s="57"/>
      <c r="P31" s="57"/>
      <c r="Q31" s="56"/>
      <c r="R31" s="57"/>
      <c r="S31" s="57"/>
      <c r="T31" s="37"/>
    </row>
    <row r="32" spans="1:20" ht="30" customHeight="1" x14ac:dyDescent="0.35">
      <c r="A32" s="39" t="s">
        <v>49</v>
      </c>
      <c r="B32" s="62">
        <v>2.3143544159489373</v>
      </c>
      <c r="C32" s="63">
        <v>9.0532508840538881</v>
      </c>
      <c r="D32" s="63">
        <v>11.57712961162485</v>
      </c>
      <c r="E32" s="62">
        <v>-11.134239958598082</v>
      </c>
      <c r="F32" s="63">
        <v>-6.7003052850116402</v>
      </c>
      <c r="G32" s="63">
        <v>-17.080364836315113</v>
      </c>
      <c r="H32" s="62">
        <v>6.6766673211649739</v>
      </c>
      <c r="I32" s="63">
        <v>36.597408501975622</v>
      </c>
      <c r="J32" s="63">
        <v>45.717563036985247</v>
      </c>
      <c r="K32" s="62">
        <v>5.2488057682662882E-2</v>
      </c>
      <c r="L32" s="63">
        <v>4.9296423946582397</v>
      </c>
      <c r="M32" s="63">
        <v>4.9847179258845475</v>
      </c>
      <c r="N32" s="62">
        <v>2.7463806874538363</v>
      </c>
      <c r="O32" s="63">
        <v>-9.7145078615563722</v>
      </c>
      <c r="P32" s="63">
        <v>-7.2349245418934949</v>
      </c>
      <c r="Q32" s="62">
        <v>28.986822682723144</v>
      </c>
      <c r="R32" s="63">
        <v>15.205328845655494</v>
      </c>
      <c r="S32" s="63">
        <v>48.599693239193741</v>
      </c>
      <c r="T32" s="37"/>
    </row>
    <row r="33" spans="1:20" ht="30" customHeight="1" x14ac:dyDescent="0.35">
      <c r="A33" s="64"/>
      <c r="B33" s="64"/>
      <c r="C33" s="65"/>
      <c r="D33" s="65"/>
      <c r="E33" s="64"/>
      <c r="F33" s="65"/>
      <c r="G33" s="65"/>
      <c r="H33" s="64"/>
      <c r="I33" s="65"/>
      <c r="J33" s="65"/>
      <c r="K33" s="64"/>
      <c r="L33" s="65"/>
      <c r="M33" s="65"/>
      <c r="N33" s="64"/>
      <c r="O33" s="65"/>
      <c r="P33" s="65"/>
      <c r="Q33" s="64"/>
      <c r="R33" s="65"/>
      <c r="S33" s="65"/>
      <c r="T33" s="37"/>
    </row>
    <row r="34" spans="1:20" ht="30" customHeight="1" x14ac:dyDescent="0.35">
      <c r="A34" s="56"/>
      <c r="B34" s="56"/>
      <c r="C34" s="57"/>
      <c r="D34" s="57"/>
      <c r="E34" s="56"/>
      <c r="F34" s="57"/>
      <c r="G34" s="57"/>
      <c r="H34" s="56"/>
      <c r="I34" s="57"/>
      <c r="J34" s="57"/>
      <c r="K34" s="56"/>
      <c r="L34" s="57"/>
      <c r="M34" s="57"/>
      <c r="N34" s="56"/>
      <c r="O34" s="57"/>
      <c r="P34" s="57"/>
      <c r="Q34" s="56"/>
      <c r="R34" s="57"/>
      <c r="S34" s="57"/>
      <c r="T34" s="37"/>
    </row>
    <row r="35" spans="1:20" s="186" customFormat="1" ht="30" customHeight="1" x14ac:dyDescent="0.35">
      <c r="A35" s="39" t="s">
        <v>53</v>
      </c>
      <c r="B35" s="184">
        <v>1181966.4670077511</v>
      </c>
      <c r="C35" s="69">
        <v>1335.3429552798207</v>
      </c>
      <c r="D35" s="69">
        <v>1579732.9098459363</v>
      </c>
      <c r="E35" s="184">
        <v>18313.5</v>
      </c>
      <c r="F35" s="69">
        <v>975.08918550361852</v>
      </c>
      <c r="G35" s="69">
        <v>17650.189162000002</v>
      </c>
      <c r="H35" s="184">
        <v>284106.15765996894</v>
      </c>
      <c r="I35" s="69">
        <v>689.82571859508664</v>
      </c>
      <c r="J35" s="69">
        <v>196438.147681011</v>
      </c>
      <c r="K35" s="184">
        <v>94011.831782715672</v>
      </c>
      <c r="L35" s="69">
        <v>12844.726986954271</v>
      </c>
      <c r="M35" s="69">
        <v>1210499.223629192</v>
      </c>
      <c r="N35" s="184">
        <v>83225.113828617119</v>
      </c>
      <c r="O35" s="69">
        <v>17121.500074345004</v>
      </c>
      <c r="P35" s="69">
        <v>1429237.069024767</v>
      </c>
      <c r="Q35" s="184">
        <v>41296.94497531552</v>
      </c>
      <c r="R35" s="69">
        <v>736.17786620969082</v>
      </c>
      <c r="S35" s="69">
        <v>31045.194998508166</v>
      </c>
      <c r="T35" s="185"/>
    </row>
    <row r="36" spans="1:20" ht="30" customHeight="1" x14ac:dyDescent="0.35">
      <c r="A36" s="67"/>
      <c r="B36" s="67"/>
      <c r="C36" s="65"/>
      <c r="D36" s="65"/>
      <c r="E36" s="67"/>
      <c r="F36" s="65"/>
      <c r="G36" s="65"/>
      <c r="H36" s="67"/>
      <c r="I36" s="65"/>
      <c r="J36" s="65"/>
      <c r="K36" s="67"/>
      <c r="L36" s="65"/>
      <c r="M36" s="65"/>
      <c r="N36" s="67"/>
      <c r="O36" s="65"/>
      <c r="P36" s="65"/>
      <c r="Q36" s="67"/>
      <c r="R36" s="65"/>
      <c r="S36" s="65"/>
      <c r="T36" s="37"/>
    </row>
    <row r="37" spans="1:20" ht="32.25" customHeight="1" x14ac:dyDescent="0.35">
      <c r="A37" s="61"/>
      <c r="B37" s="56"/>
      <c r="C37" s="57"/>
      <c r="D37" s="57"/>
      <c r="E37" s="56"/>
      <c r="F37" s="57"/>
      <c r="G37" s="57"/>
      <c r="H37" s="56"/>
      <c r="I37" s="57"/>
      <c r="J37" s="57"/>
      <c r="K37" s="56"/>
      <c r="L37" s="57"/>
      <c r="M37" s="57"/>
      <c r="N37" s="56"/>
      <c r="O37" s="57"/>
      <c r="P37" s="57"/>
      <c r="Q37" s="56"/>
      <c r="R37" s="57"/>
      <c r="S37" s="66"/>
      <c r="T37" s="70"/>
    </row>
    <row r="38" spans="1:20" s="186" customFormat="1" ht="26.25" customHeight="1" x14ac:dyDescent="0.35">
      <c r="A38" s="39" t="s">
        <v>50</v>
      </c>
      <c r="B38" s="187">
        <v>6.0543365213231297</v>
      </c>
      <c r="C38" s="188">
        <v>8.6073690443393511E-2</v>
      </c>
      <c r="D38" s="188">
        <v>6.0513968855547411</v>
      </c>
      <c r="E38" s="187">
        <v>-15.613072323695631</v>
      </c>
      <c r="F38" s="188">
        <v>-13.789398766855099</v>
      </c>
      <c r="G38" s="188">
        <v>-26.395870997407954</v>
      </c>
      <c r="H38" s="187">
        <v>10.336957560213975</v>
      </c>
      <c r="I38" s="188">
        <v>2.5688827979207036</v>
      </c>
      <c r="J38" s="188">
        <v>12.909589380798419</v>
      </c>
      <c r="K38" s="187">
        <v>2.9622058475533657</v>
      </c>
      <c r="L38" s="188">
        <v>11.695551391471467</v>
      </c>
      <c r="M38" s="188">
        <v>14.724610540088312</v>
      </c>
      <c r="N38" s="187">
        <v>10.560561204693675</v>
      </c>
      <c r="O38" s="188">
        <v>-12.110132178926795</v>
      </c>
      <c r="P38" s="188">
        <v>-3.1207018001679052</v>
      </c>
      <c r="Q38" s="187">
        <v>42.182874583976741</v>
      </c>
      <c r="R38" s="188">
        <v>38.88747992707566</v>
      </c>
      <c r="S38" s="189">
        <v>93.382280328944162</v>
      </c>
    </row>
    <row r="39" spans="1:20" ht="28.5" customHeight="1" thickBot="1" x14ac:dyDescent="0.4">
      <c r="A39" s="72"/>
      <c r="B39" s="72"/>
      <c r="C39" s="73"/>
      <c r="D39" s="73"/>
      <c r="E39" s="72"/>
      <c r="F39" s="73"/>
      <c r="G39" s="73"/>
      <c r="H39" s="72"/>
      <c r="I39" s="73"/>
      <c r="J39" s="73"/>
      <c r="K39" s="72"/>
      <c r="L39" s="73"/>
      <c r="M39" s="73"/>
      <c r="N39" s="72"/>
      <c r="O39" s="73"/>
      <c r="P39" s="73"/>
      <c r="Q39" s="72"/>
      <c r="R39" s="73"/>
      <c r="S39" s="74"/>
    </row>
    <row r="40" spans="1:20" ht="23.25" thickTop="1" x14ac:dyDescent="0.3">
      <c r="A40" s="76"/>
    </row>
    <row r="41" spans="1:20" ht="31.5" x14ac:dyDescent="0.5">
      <c r="A41" s="118" t="s">
        <v>51</v>
      </c>
    </row>
    <row r="42" spans="1:20" x14ac:dyDescent="0.25">
      <c r="G42" s="100"/>
    </row>
    <row r="43" spans="1:20" x14ac:dyDescent="0.25">
      <c r="G43" s="100"/>
    </row>
    <row r="44" spans="1:20" ht="20.100000000000001" customHeight="1" x14ac:dyDescent="0.25"/>
    <row r="45" spans="1:20" ht="20.100000000000001" customHeight="1" x14ac:dyDescent="0.25"/>
    <row r="46" spans="1:20" ht="20.100000000000001" customHeight="1" x14ac:dyDescent="0.25"/>
    <row r="47" spans="1:20" ht="20.100000000000001" customHeight="1" x14ac:dyDescent="0.25"/>
    <row r="48" spans="1:20" ht="20.100000000000001" customHeight="1" x14ac:dyDescent="0.25"/>
    <row r="49" ht="20.100000000000001" customHeight="1" x14ac:dyDescent="0.25"/>
    <row r="50" ht="20.100000000000001" customHeight="1" x14ac:dyDescent="0.25"/>
    <row r="51" ht="20.100000000000001" customHeight="1" x14ac:dyDescent="0.25"/>
    <row r="52" ht="20.100000000000001" customHeight="1" x14ac:dyDescent="0.25"/>
    <row r="53" ht="20.100000000000001" customHeight="1" x14ac:dyDescent="0.25"/>
    <row r="54" ht="20.100000000000001" customHeight="1" x14ac:dyDescent="0.25"/>
    <row r="55" ht="20.100000000000001" customHeight="1" x14ac:dyDescent="0.25"/>
    <row r="56" ht="20.100000000000001" customHeight="1" x14ac:dyDescent="0.25"/>
    <row r="57" ht="20.100000000000001" customHeight="1" x14ac:dyDescent="0.25"/>
    <row r="58" ht="20.100000000000001" customHeight="1" x14ac:dyDescent="0.25"/>
    <row r="59" ht="20.100000000000001" customHeight="1" x14ac:dyDescent="0.25"/>
    <row r="60" ht="20.100000000000001" customHeight="1" x14ac:dyDescent="0.25"/>
  </sheetData>
  <mergeCells count="6">
    <mergeCell ref="Q6:S6"/>
    <mergeCell ref="B6:D6"/>
    <mergeCell ref="E6:G6"/>
    <mergeCell ref="H6:J6"/>
    <mergeCell ref="K6:M6"/>
    <mergeCell ref="N6:P6"/>
  </mergeCells>
  <pageMargins left="0.7" right="0.7" top="0.75" bottom="0.75" header="0.3" footer="0.3"/>
  <pageSetup orientation="portrait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6"/>
  <sheetViews>
    <sheetView zoomScale="70" zoomScaleNormal="70" workbookViewId="0">
      <selection activeCell="A8" sqref="A8"/>
    </sheetView>
  </sheetViews>
  <sheetFormatPr baseColWidth="10" defaultRowHeight="15" x14ac:dyDescent="0.25"/>
  <cols>
    <col min="1" max="1" width="66.28515625" bestFit="1" customWidth="1"/>
    <col min="2" max="2" width="20.28515625" customWidth="1"/>
    <col min="3" max="3" width="13.42578125" customWidth="1"/>
    <col min="4" max="4" width="19.85546875" customWidth="1"/>
    <col min="5" max="5" width="16.140625" customWidth="1"/>
    <col min="6" max="6" width="13.7109375" bestFit="1" customWidth="1"/>
    <col min="7" max="7" width="15.7109375" customWidth="1"/>
    <col min="8" max="8" width="15.85546875" customWidth="1"/>
    <col min="9" max="9" width="13.7109375" bestFit="1" customWidth="1"/>
    <col min="10" max="10" width="15.42578125" customWidth="1"/>
    <col min="11" max="11" width="17.140625" style="110" customWidth="1"/>
    <col min="12" max="12" width="12" style="110" customWidth="1"/>
    <col min="13" max="13" width="19" style="110" customWidth="1"/>
    <col min="14" max="14" width="15.42578125" customWidth="1"/>
    <col min="15" max="15" width="13.7109375" customWidth="1"/>
    <col min="16" max="16" width="14.85546875" customWidth="1"/>
    <col min="17" max="17" width="20.140625" customWidth="1"/>
    <col min="18" max="18" width="18.85546875" customWidth="1"/>
    <col min="19" max="19" width="8.7109375" customWidth="1"/>
    <col min="20" max="20" width="15" customWidth="1"/>
    <col min="255" max="255" width="72.5703125" customWidth="1"/>
    <col min="256" max="256" width="17.7109375" customWidth="1"/>
    <col min="257" max="257" width="13.5703125" customWidth="1"/>
    <col min="258" max="258" width="16.7109375" customWidth="1"/>
    <col min="259" max="259" width="16.140625" customWidth="1"/>
    <col min="260" max="260" width="13.5703125" customWidth="1"/>
    <col min="261" max="261" width="15.7109375" customWidth="1"/>
    <col min="262" max="262" width="15.85546875" customWidth="1"/>
    <col min="263" max="263" width="12.140625" customWidth="1"/>
    <col min="264" max="264" width="15.42578125" customWidth="1"/>
    <col min="265" max="265" width="17.140625" customWidth="1"/>
    <col min="266" max="266" width="12" customWidth="1"/>
    <col min="267" max="267" width="18.140625" customWidth="1"/>
    <col min="268" max="268" width="15.42578125" customWidth="1"/>
    <col min="269" max="269" width="10.42578125" customWidth="1"/>
    <col min="270" max="270" width="11.42578125" customWidth="1"/>
    <col min="271" max="271" width="20.140625" customWidth="1"/>
    <col min="272" max="272" width="18.85546875" customWidth="1"/>
    <col min="273" max="273" width="8.7109375" customWidth="1"/>
    <col min="274" max="274" width="15.42578125" customWidth="1"/>
    <col min="275" max="275" width="10.7109375" customWidth="1"/>
    <col min="276" max="276" width="15" customWidth="1"/>
    <col min="511" max="511" width="72.5703125" customWidth="1"/>
    <col min="512" max="512" width="17.7109375" customWidth="1"/>
    <col min="513" max="513" width="13.5703125" customWidth="1"/>
    <col min="514" max="514" width="16.7109375" customWidth="1"/>
    <col min="515" max="515" width="16.140625" customWidth="1"/>
    <col min="516" max="516" width="13.5703125" customWidth="1"/>
    <col min="517" max="517" width="15.7109375" customWidth="1"/>
    <col min="518" max="518" width="15.85546875" customWidth="1"/>
    <col min="519" max="519" width="12.140625" customWidth="1"/>
    <col min="520" max="520" width="15.42578125" customWidth="1"/>
    <col min="521" max="521" width="17.140625" customWidth="1"/>
    <col min="522" max="522" width="12" customWidth="1"/>
    <col min="523" max="523" width="18.140625" customWidth="1"/>
    <col min="524" max="524" width="15.42578125" customWidth="1"/>
    <col min="525" max="525" width="10.42578125" customWidth="1"/>
    <col min="526" max="526" width="11.42578125" customWidth="1"/>
    <col min="527" max="527" width="20.140625" customWidth="1"/>
    <col min="528" max="528" width="18.85546875" customWidth="1"/>
    <col min="529" max="529" width="8.7109375" customWidth="1"/>
    <col min="530" max="530" width="15.42578125" customWidth="1"/>
    <col min="531" max="531" width="10.7109375" customWidth="1"/>
    <col min="532" max="532" width="15" customWidth="1"/>
    <col min="767" max="767" width="72.5703125" customWidth="1"/>
    <col min="768" max="768" width="17.7109375" customWidth="1"/>
    <col min="769" max="769" width="13.5703125" customWidth="1"/>
    <col min="770" max="770" width="16.7109375" customWidth="1"/>
    <col min="771" max="771" width="16.140625" customWidth="1"/>
    <col min="772" max="772" width="13.5703125" customWidth="1"/>
    <col min="773" max="773" width="15.7109375" customWidth="1"/>
    <col min="774" max="774" width="15.85546875" customWidth="1"/>
    <col min="775" max="775" width="12.140625" customWidth="1"/>
    <col min="776" max="776" width="15.42578125" customWidth="1"/>
    <col min="777" max="777" width="17.140625" customWidth="1"/>
    <col min="778" max="778" width="12" customWidth="1"/>
    <col min="779" max="779" width="18.140625" customWidth="1"/>
    <col min="780" max="780" width="15.42578125" customWidth="1"/>
    <col min="781" max="781" width="10.42578125" customWidth="1"/>
    <col min="782" max="782" width="11.42578125" customWidth="1"/>
    <col min="783" max="783" width="20.140625" customWidth="1"/>
    <col min="784" max="784" width="18.85546875" customWidth="1"/>
    <col min="785" max="785" width="8.7109375" customWidth="1"/>
    <col min="786" max="786" width="15.42578125" customWidth="1"/>
    <col min="787" max="787" width="10.7109375" customWidth="1"/>
    <col min="788" max="788" width="15" customWidth="1"/>
    <col min="1023" max="1023" width="72.5703125" customWidth="1"/>
    <col min="1024" max="1024" width="17.7109375" customWidth="1"/>
    <col min="1025" max="1025" width="13.5703125" customWidth="1"/>
    <col min="1026" max="1026" width="16.7109375" customWidth="1"/>
    <col min="1027" max="1027" width="16.140625" customWidth="1"/>
    <col min="1028" max="1028" width="13.5703125" customWidth="1"/>
    <col min="1029" max="1029" width="15.7109375" customWidth="1"/>
    <col min="1030" max="1030" width="15.85546875" customWidth="1"/>
    <col min="1031" max="1031" width="12.140625" customWidth="1"/>
    <col min="1032" max="1032" width="15.42578125" customWidth="1"/>
    <col min="1033" max="1033" width="17.140625" customWidth="1"/>
    <col min="1034" max="1034" width="12" customWidth="1"/>
    <col min="1035" max="1035" width="18.140625" customWidth="1"/>
    <col min="1036" max="1036" width="15.42578125" customWidth="1"/>
    <col min="1037" max="1037" width="10.42578125" customWidth="1"/>
    <col min="1038" max="1038" width="11.42578125" customWidth="1"/>
    <col min="1039" max="1039" width="20.140625" customWidth="1"/>
    <col min="1040" max="1040" width="18.85546875" customWidth="1"/>
    <col min="1041" max="1041" width="8.7109375" customWidth="1"/>
    <col min="1042" max="1042" width="15.42578125" customWidth="1"/>
    <col min="1043" max="1043" width="10.7109375" customWidth="1"/>
    <col min="1044" max="1044" width="15" customWidth="1"/>
    <col min="1279" max="1279" width="72.5703125" customWidth="1"/>
    <col min="1280" max="1280" width="17.7109375" customWidth="1"/>
    <col min="1281" max="1281" width="13.5703125" customWidth="1"/>
    <col min="1282" max="1282" width="16.7109375" customWidth="1"/>
    <col min="1283" max="1283" width="16.140625" customWidth="1"/>
    <col min="1284" max="1284" width="13.5703125" customWidth="1"/>
    <col min="1285" max="1285" width="15.7109375" customWidth="1"/>
    <col min="1286" max="1286" width="15.85546875" customWidth="1"/>
    <col min="1287" max="1287" width="12.140625" customWidth="1"/>
    <col min="1288" max="1288" width="15.42578125" customWidth="1"/>
    <col min="1289" max="1289" width="17.140625" customWidth="1"/>
    <col min="1290" max="1290" width="12" customWidth="1"/>
    <col min="1291" max="1291" width="18.140625" customWidth="1"/>
    <col min="1292" max="1292" width="15.42578125" customWidth="1"/>
    <col min="1293" max="1293" width="10.42578125" customWidth="1"/>
    <col min="1294" max="1294" width="11.42578125" customWidth="1"/>
    <col min="1295" max="1295" width="20.140625" customWidth="1"/>
    <col min="1296" max="1296" width="18.85546875" customWidth="1"/>
    <col min="1297" max="1297" width="8.7109375" customWidth="1"/>
    <col min="1298" max="1298" width="15.42578125" customWidth="1"/>
    <col min="1299" max="1299" width="10.7109375" customWidth="1"/>
    <col min="1300" max="1300" width="15" customWidth="1"/>
    <col min="1535" max="1535" width="72.5703125" customWidth="1"/>
    <col min="1536" max="1536" width="17.7109375" customWidth="1"/>
    <col min="1537" max="1537" width="13.5703125" customWidth="1"/>
    <col min="1538" max="1538" width="16.7109375" customWidth="1"/>
    <col min="1539" max="1539" width="16.140625" customWidth="1"/>
    <col min="1540" max="1540" width="13.5703125" customWidth="1"/>
    <col min="1541" max="1541" width="15.7109375" customWidth="1"/>
    <col min="1542" max="1542" width="15.85546875" customWidth="1"/>
    <col min="1543" max="1543" width="12.140625" customWidth="1"/>
    <col min="1544" max="1544" width="15.42578125" customWidth="1"/>
    <col min="1545" max="1545" width="17.140625" customWidth="1"/>
    <col min="1546" max="1546" width="12" customWidth="1"/>
    <col min="1547" max="1547" width="18.140625" customWidth="1"/>
    <col min="1548" max="1548" width="15.42578125" customWidth="1"/>
    <col min="1549" max="1549" width="10.42578125" customWidth="1"/>
    <col min="1550" max="1550" width="11.42578125" customWidth="1"/>
    <col min="1551" max="1551" width="20.140625" customWidth="1"/>
    <col min="1552" max="1552" width="18.85546875" customWidth="1"/>
    <col min="1553" max="1553" width="8.7109375" customWidth="1"/>
    <col min="1554" max="1554" width="15.42578125" customWidth="1"/>
    <col min="1555" max="1555" width="10.7109375" customWidth="1"/>
    <col min="1556" max="1556" width="15" customWidth="1"/>
    <col min="1791" max="1791" width="72.5703125" customWidth="1"/>
    <col min="1792" max="1792" width="17.7109375" customWidth="1"/>
    <col min="1793" max="1793" width="13.5703125" customWidth="1"/>
    <col min="1794" max="1794" width="16.7109375" customWidth="1"/>
    <col min="1795" max="1795" width="16.140625" customWidth="1"/>
    <col min="1796" max="1796" width="13.5703125" customWidth="1"/>
    <col min="1797" max="1797" width="15.7109375" customWidth="1"/>
    <col min="1798" max="1798" width="15.85546875" customWidth="1"/>
    <col min="1799" max="1799" width="12.140625" customWidth="1"/>
    <col min="1800" max="1800" width="15.42578125" customWidth="1"/>
    <col min="1801" max="1801" width="17.140625" customWidth="1"/>
    <col min="1802" max="1802" width="12" customWidth="1"/>
    <col min="1803" max="1803" width="18.140625" customWidth="1"/>
    <col min="1804" max="1804" width="15.42578125" customWidth="1"/>
    <col min="1805" max="1805" width="10.42578125" customWidth="1"/>
    <col min="1806" max="1806" width="11.42578125" customWidth="1"/>
    <col min="1807" max="1807" width="20.140625" customWidth="1"/>
    <col min="1808" max="1808" width="18.85546875" customWidth="1"/>
    <col min="1809" max="1809" width="8.7109375" customWidth="1"/>
    <col min="1810" max="1810" width="15.42578125" customWidth="1"/>
    <col min="1811" max="1811" width="10.7109375" customWidth="1"/>
    <col min="1812" max="1812" width="15" customWidth="1"/>
    <col min="2047" max="2047" width="72.5703125" customWidth="1"/>
    <col min="2048" max="2048" width="17.7109375" customWidth="1"/>
    <col min="2049" max="2049" width="13.5703125" customWidth="1"/>
    <col min="2050" max="2050" width="16.7109375" customWidth="1"/>
    <col min="2051" max="2051" width="16.140625" customWidth="1"/>
    <col min="2052" max="2052" width="13.5703125" customWidth="1"/>
    <col min="2053" max="2053" width="15.7109375" customWidth="1"/>
    <col min="2054" max="2054" width="15.85546875" customWidth="1"/>
    <col min="2055" max="2055" width="12.140625" customWidth="1"/>
    <col min="2056" max="2056" width="15.42578125" customWidth="1"/>
    <col min="2057" max="2057" width="17.140625" customWidth="1"/>
    <col min="2058" max="2058" width="12" customWidth="1"/>
    <col min="2059" max="2059" width="18.140625" customWidth="1"/>
    <col min="2060" max="2060" width="15.42578125" customWidth="1"/>
    <col min="2061" max="2061" width="10.42578125" customWidth="1"/>
    <col min="2062" max="2062" width="11.42578125" customWidth="1"/>
    <col min="2063" max="2063" width="20.140625" customWidth="1"/>
    <col min="2064" max="2064" width="18.85546875" customWidth="1"/>
    <col min="2065" max="2065" width="8.7109375" customWidth="1"/>
    <col min="2066" max="2066" width="15.42578125" customWidth="1"/>
    <col min="2067" max="2067" width="10.7109375" customWidth="1"/>
    <col min="2068" max="2068" width="15" customWidth="1"/>
    <col min="2303" max="2303" width="72.5703125" customWidth="1"/>
    <col min="2304" max="2304" width="17.7109375" customWidth="1"/>
    <col min="2305" max="2305" width="13.5703125" customWidth="1"/>
    <col min="2306" max="2306" width="16.7109375" customWidth="1"/>
    <col min="2307" max="2307" width="16.140625" customWidth="1"/>
    <col min="2308" max="2308" width="13.5703125" customWidth="1"/>
    <col min="2309" max="2309" width="15.7109375" customWidth="1"/>
    <col min="2310" max="2310" width="15.85546875" customWidth="1"/>
    <col min="2311" max="2311" width="12.140625" customWidth="1"/>
    <col min="2312" max="2312" width="15.42578125" customWidth="1"/>
    <col min="2313" max="2313" width="17.140625" customWidth="1"/>
    <col min="2314" max="2314" width="12" customWidth="1"/>
    <col min="2315" max="2315" width="18.140625" customWidth="1"/>
    <col min="2316" max="2316" width="15.42578125" customWidth="1"/>
    <col min="2317" max="2317" width="10.42578125" customWidth="1"/>
    <col min="2318" max="2318" width="11.42578125" customWidth="1"/>
    <col min="2319" max="2319" width="20.140625" customWidth="1"/>
    <col min="2320" max="2320" width="18.85546875" customWidth="1"/>
    <col min="2321" max="2321" width="8.7109375" customWidth="1"/>
    <col min="2322" max="2322" width="15.42578125" customWidth="1"/>
    <col min="2323" max="2323" width="10.7109375" customWidth="1"/>
    <col min="2324" max="2324" width="15" customWidth="1"/>
    <col min="2559" max="2559" width="72.5703125" customWidth="1"/>
    <col min="2560" max="2560" width="17.7109375" customWidth="1"/>
    <col min="2561" max="2561" width="13.5703125" customWidth="1"/>
    <col min="2562" max="2562" width="16.7109375" customWidth="1"/>
    <col min="2563" max="2563" width="16.140625" customWidth="1"/>
    <col min="2564" max="2564" width="13.5703125" customWidth="1"/>
    <col min="2565" max="2565" width="15.7109375" customWidth="1"/>
    <col min="2566" max="2566" width="15.85546875" customWidth="1"/>
    <col min="2567" max="2567" width="12.140625" customWidth="1"/>
    <col min="2568" max="2568" width="15.42578125" customWidth="1"/>
    <col min="2569" max="2569" width="17.140625" customWidth="1"/>
    <col min="2570" max="2570" width="12" customWidth="1"/>
    <col min="2571" max="2571" width="18.140625" customWidth="1"/>
    <col min="2572" max="2572" width="15.42578125" customWidth="1"/>
    <col min="2573" max="2573" width="10.42578125" customWidth="1"/>
    <col min="2574" max="2574" width="11.42578125" customWidth="1"/>
    <col min="2575" max="2575" width="20.140625" customWidth="1"/>
    <col min="2576" max="2576" width="18.85546875" customWidth="1"/>
    <col min="2577" max="2577" width="8.7109375" customWidth="1"/>
    <col min="2578" max="2578" width="15.42578125" customWidth="1"/>
    <col min="2579" max="2579" width="10.7109375" customWidth="1"/>
    <col min="2580" max="2580" width="15" customWidth="1"/>
    <col min="2815" max="2815" width="72.5703125" customWidth="1"/>
    <col min="2816" max="2816" width="17.7109375" customWidth="1"/>
    <col min="2817" max="2817" width="13.5703125" customWidth="1"/>
    <col min="2818" max="2818" width="16.7109375" customWidth="1"/>
    <col min="2819" max="2819" width="16.140625" customWidth="1"/>
    <col min="2820" max="2820" width="13.5703125" customWidth="1"/>
    <col min="2821" max="2821" width="15.7109375" customWidth="1"/>
    <col min="2822" max="2822" width="15.85546875" customWidth="1"/>
    <col min="2823" max="2823" width="12.140625" customWidth="1"/>
    <col min="2824" max="2824" width="15.42578125" customWidth="1"/>
    <col min="2825" max="2825" width="17.140625" customWidth="1"/>
    <col min="2826" max="2826" width="12" customWidth="1"/>
    <col min="2827" max="2827" width="18.140625" customWidth="1"/>
    <col min="2828" max="2828" width="15.42578125" customWidth="1"/>
    <col min="2829" max="2829" width="10.42578125" customWidth="1"/>
    <col min="2830" max="2830" width="11.42578125" customWidth="1"/>
    <col min="2831" max="2831" width="20.140625" customWidth="1"/>
    <col min="2832" max="2832" width="18.85546875" customWidth="1"/>
    <col min="2833" max="2833" width="8.7109375" customWidth="1"/>
    <col min="2834" max="2834" width="15.42578125" customWidth="1"/>
    <col min="2835" max="2835" width="10.7109375" customWidth="1"/>
    <col min="2836" max="2836" width="15" customWidth="1"/>
    <col min="3071" max="3071" width="72.5703125" customWidth="1"/>
    <col min="3072" max="3072" width="17.7109375" customWidth="1"/>
    <col min="3073" max="3073" width="13.5703125" customWidth="1"/>
    <col min="3074" max="3074" width="16.7109375" customWidth="1"/>
    <col min="3075" max="3075" width="16.140625" customWidth="1"/>
    <col min="3076" max="3076" width="13.5703125" customWidth="1"/>
    <col min="3077" max="3077" width="15.7109375" customWidth="1"/>
    <col min="3078" max="3078" width="15.85546875" customWidth="1"/>
    <col min="3079" max="3079" width="12.140625" customWidth="1"/>
    <col min="3080" max="3080" width="15.42578125" customWidth="1"/>
    <col min="3081" max="3081" width="17.140625" customWidth="1"/>
    <col min="3082" max="3082" width="12" customWidth="1"/>
    <col min="3083" max="3083" width="18.140625" customWidth="1"/>
    <col min="3084" max="3084" width="15.42578125" customWidth="1"/>
    <col min="3085" max="3085" width="10.42578125" customWidth="1"/>
    <col min="3086" max="3086" width="11.42578125" customWidth="1"/>
    <col min="3087" max="3087" width="20.140625" customWidth="1"/>
    <col min="3088" max="3088" width="18.85546875" customWidth="1"/>
    <col min="3089" max="3089" width="8.7109375" customWidth="1"/>
    <col min="3090" max="3090" width="15.42578125" customWidth="1"/>
    <col min="3091" max="3091" width="10.7109375" customWidth="1"/>
    <col min="3092" max="3092" width="15" customWidth="1"/>
    <col min="3327" max="3327" width="72.5703125" customWidth="1"/>
    <col min="3328" max="3328" width="17.7109375" customWidth="1"/>
    <col min="3329" max="3329" width="13.5703125" customWidth="1"/>
    <col min="3330" max="3330" width="16.7109375" customWidth="1"/>
    <col min="3331" max="3331" width="16.140625" customWidth="1"/>
    <col min="3332" max="3332" width="13.5703125" customWidth="1"/>
    <col min="3333" max="3333" width="15.7109375" customWidth="1"/>
    <col min="3334" max="3334" width="15.85546875" customWidth="1"/>
    <col min="3335" max="3335" width="12.140625" customWidth="1"/>
    <col min="3336" max="3336" width="15.42578125" customWidth="1"/>
    <col min="3337" max="3337" width="17.140625" customWidth="1"/>
    <col min="3338" max="3338" width="12" customWidth="1"/>
    <col min="3339" max="3339" width="18.140625" customWidth="1"/>
    <col min="3340" max="3340" width="15.42578125" customWidth="1"/>
    <col min="3341" max="3341" width="10.42578125" customWidth="1"/>
    <col min="3342" max="3342" width="11.42578125" customWidth="1"/>
    <col min="3343" max="3343" width="20.140625" customWidth="1"/>
    <col min="3344" max="3344" width="18.85546875" customWidth="1"/>
    <col min="3345" max="3345" width="8.7109375" customWidth="1"/>
    <col min="3346" max="3346" width="15.42578125" customWidth="1"/>
    <col min="3347" max="3347" width="10.7109375" customWidth="1"/>
    <col min="3348" max="3348" width="15" customWidth="1"/>
    <col min="3583" max="3583" width="72.5703125" customWidth="1"/>
    <col min="3584" max="3584" width="17.7109375" customWidth="1"/>
    <col min="3585" max="3585" width="13.5703125" customWidth="1"/>
    <col min="3586" max="3586" width="16.7109375" customWidth="1"/>
    <col min="3587" max="3587" width="16.140625" customWidth="1"/>
    <col min="3588" max="3588" width="13.5703125" customWidth="1"/>
    <col min="3589" max="3589" width="15.7109375" customWidth="1"/>
    <col min="3590" max="3590" width="15.85546875" customWidth="1"/>
    <col min="3591" max="3591" width="12.140625" customWidth="1"/>
    <col min="3592" max="3592" width="15.42578125" customWidth="1"/>
    <col min="3593" max="3593" width="17.140625" customWidth="1"/>
    <col min="3594" max="3594" width="12" customWidth="1"/>
    <col min="3595" max="3595" width="18.140625" customWidth="1"/>
    <col min="3596" max="3596" width="15.42578125" customWidth="1"/>
    <col min="3597" max="3597" width="10.42578125" customWidth="1"/>
    <col min="3598" max="3598" width="11.42578125" customWidth="1"/>
    <col min="3599" max="3599" width="20.140625" customWidth="1"/>
    <col min="3600" max="3600" width="18.85546875" customWidth="1"/>
    <col min="3601" max="3601" width="8.7109375" customWidth="1"/>
    <col min="3602" max="3602" width="15.42578125" customWidth="1"/>
    <col min="3603" max="3603" width="10.7109375" customWidth="1"/>
    <col min="3604" max="3604" width="15" customWidth="1"/>
    <col min="3839" max="3839" width="72.5703125" customWidth="1"/>
    <col min="3840" max="3840" width="17.7109375" customWidth="1"/>
    <col min="3841" max="3841" width="13.5703125" customWidth="1"/>
    <col min="3842" max="3842" width="16.7109375" customWidth="1"/>
    <col min="3843" max="3843" width="16.140625" customWidth="1"/>
    <col min="3844" max="3844" width="13.5703125" customWidth="1"/>
    <col min="3845" max="3845" width="15.7109375" customWidth="1"/>
    <col min="3846" max="3846" width="15.85546875" customWidth="1"/>
    <col min="3847" max="3847" width="12.140625" customWidth="1"/>
    <col min="3848" max="3848" width="15.42578125" customWidth="1"/>
    <col min="3849" max="3849" width="17.140625" customWidth="1"/>
    <col min="3850" max="3850" width="12" customWidth="1"/>
    <col min="3851" max="3851" width="18.140625" customWidth="1"/>
    <col min="3852" max="3852" width="15.42578125" customWidth="1"/>
    <col min="3853" max="3853" width="10.42578125" customWidth="1"/>
    <col min="3854" max="3854" width="11.42578125" customWidth="1"/>
    <col min="3855" max="3855" width="20.140625" customWidth="1"/>
    <col min="3856" max="3856" width="18.85546875" customWidth="1"/>
    <col min="3857" max="3857" width="8.7109375" customWidth="1"/>
    <col min="3858" max="3858" width="15.42578125" customWidth="1"/>
    <col min="3859" max="3859" width="10.7109375" customWidth="1"/>
    <col min="3860" max="3860" width="15" customWidth="1"/>
    <col min="4095" max="4095" width="72.5703125" customWidth="1"/>
    <col min="4096" max="4096" width="17.7109375" customWidth="1"/>
    <col min="4097" max="4097" width="13.5703125" customWidth="1"/>
    <col min="4098" max="4098" width="16.7109375" customWidth="1"/>
    <col min="4099" max="4099" width="16.140625" customWidth="1"/>
    <col min="4100" max="4100" width="13.5703125" customWidth="1"/>
    <col min="4101" max="4101" width="15.7109375" customWidth="1"/>
    <col min="4102" max="4102" width="15.85546875" customWidth="1"/>
    <col min="4103" max="4103" width="12.140625" customWidth="1"/>
    <col min="4104" max="4104" width="15.42578125" customWidth="1"/>
    <col min="4105" max="4105" width="17.140625" customWidth="1"/>
    <col min="4106" max="4106" width="12" customWidth="1"/>
    <col min="4107" max="4107" width="18.140625" customWidth="1"/>
    <col min="4108" max="4108" width="15.42578125" customWidth="1"/>
    <col min="4109" max="4109" width="10.42578125" customWidth="1"/>
    <col min="4110" max="4110" width="11.42578125" customWidth="1"/>
    <col min="4111" max="4111" width="20.140625" customWidth="1"/>
    <col min="4112" max="4112" width="18.85546875" customWidth="1"/>
    <col min="4113" max="4113" width="8.7109375" customWidth="1"/>
    <col min="4114" max="4114" width="15.42578125" customWidth="1"/>
    <col min="4115" max="4115" width="10.7109375" customWidth="1"/>
    <col min="4116" max="4116" width="15" customWidth="1"/>
    <col min="4351" max="4351" width="72.5703125" customWidth="1"/>
    <col min="4352" max="4352" width="17.7109375" customWidth="1"/>
    <col min="4353" max="4353" width="13.5703125" customWidth="1"/>
    <col min="4354" max="4354" width="16.7109375" customWidth="1"/>
    <col min="4355" max="4355" width="16.140625" customWidth="1"/>
    <col min="4356" max="4356" width="13.5703125" customWidth="1"/>
    <col min="4357" max="4357" width="15.7109375" customWidth="1"/>
    <col min="4358" max="4358" width="15.85546875" customWidth="1"/>
    <col min="4359" max="4359" width="12.140625" customWidth="1"/>
    <col min="4360" max="4360" width="15.42578125" customWidth="1"/>
    <col min="4361" max="4361" width="17.140625" customWidth="1"/>
    <col min="4362" max="4362" width="12" customWidth="1"/>
    <col min="4363" max="4363" width="18.140625" customWidth="1"/>
    <col min="4364" max="4364" width="15.42578125" customWidth="1"/>
    <col min="4365" max="4365" width="10.42578125" customWidth="1"/>
    <col min="4366" max="4366" width="11.42578125" customWidth="1"/>
    <col min="4367" max="4367" width="20.140625" customWidth="1"/>
    <col min="4368" max="4368" width="18.85546875" customWidth="1"/>
    <col min="4369" max="4369" width="8.7109375" customWidth="1"/>
    <col min="4370" max="4370" width="15.42578125" customWidth="1"/>
    <col min="4371" max="4371" width="10.7109375" customWidth="1"/>
    <col min="4372" max="4372" width="15" customWidth="1"/>
    <col min="4607" max="4607" width="72.5703125" customWidth="1"/>
    <col min="4608" max="4608" width="17.7109375" customWidth="1"/>
    <col min="4609" max="4609" width="13.5703125" customWidth="1"/>
    <col min="4610" max="4610" width="16.7109375" customWidth="1"/>
    <col min="4611" max="4611" width="16.140625" customWidth="1"/>
    <col min="4612" max="4612" width="13.5703125" customWidth="1"/>
    <col min="4613" max="4613" width="15.7109375" customWidth="1"/>
    <col min="4614" max="4614" width="15.85546875" customWidth="1"/>
    <col min="4615" max="4615" width="12.140625" customWidth="1"/>
    <col min="4616" max="4616" width="15.42578125" customWidth="1"/>
    <col min="4617" max="4617" width="17.140625" customWidth="1"/>
    <col min="4618" max="4618" width="12" customWidth="1"/>
    <col min="4619" max="4619" width="18.140625" customWidth="1"/>
    <col min="4620" max="4620" width="15.42578125" customWidth="1"/>
    <col min="4621" max="4621" width="10.42578125" customWidth="1"/>
    <col min="4622" max="4622" width="11.42578125" customWidth="1"/>
    <col min="4623" max="4623" width="20.140625" customWidth="1"/>
    <col min="4624" max="4624" width="18.85546875" customWidth="1"/>
    <col min="4625" max="4625" width="8.7109375" customWidth="1"/>
    <col min="4626" max="4626" width="15.42578125" customWidth="1"/>
    <col min="4627" max="4627" width="10.7109375" customWidth="1"/>
    <col min="4628" max="4628" width="15" customWidth="1"/>
    <col min="4863" max="4863" width="72.5703125" customWidth="1"/>
    <col min="4864" max="4864" width="17.7109375" customWidth="1"/>
    <col min="4865" max="4865" width="13.5703125" customWidth="1"/>
    <col min="4866" max="4866" width="16.7109375" customWidth="1"/>
    <col min="4867" max="4867" width="16.140625" customWidth="1"/>
    <col min="4868" max="4868" width="13.5703125" customWidth="1"/>
    <col min="4869" max="4869" width="15.7109375" customWidth="1"/>
    <col min="4870" max="4870" width="15.85546875" customWidth="1"/>
    <col min="4871" max="4871" width="12.140625" customWidth="1"/>
    <col min="4872" max="4872" width="15.42578125" customWidth="1"/>
    <col min="4873" max="4873" width="17.140625" customWidth="1"/>
    <col min="4874" max="4874" width="12" customWidth="1"/>
    <col min="4875" max="4875" width="18.140625" customWidth="1"/>
    <col min="4876" max="4876" width="15.42578125" customWidth="1"/>
    <col min="4877" max="4877" width="10.42578125" customWidth="1"/>
    <col min="4878" max="4878" width="11.42578125" customWidth="1"/>
    <col min="4879" max="4879" width="20.140625" customWidth="1"/>
    <col min="4880" max="4880" width="18.85546875" customWidth="1"/>
    <col min="4881" max="4881" width="8.7109375" customWidth="1"/>
    <col min="4882" max="4882" width="15.42578125" customWidth="1"/>
    <col min="4883" max="4883" width="10.7109375" customWidth="1"/>
    <col min="4884" max="4884" width="15" customWidth="1"/>
    <col min="5119" max="5119" width="72.5703125" customWidth="1"/>
    <col min="5120" max="5120" width="17.7109375" customWidth="1"/>
    <col min="5121" max="5121" width="13.5703125" customWidth="1"/>
    <col min="5122" max="5122" width="16.7109375" customWidth="1"/>
    <col min="5123" max="5123" width="16.140625" customWidth="1"/>
    <col min="5124" max="5124" width="13.5703125" customWidth="1"/>
    <col min="5125" max="5125" width="15.7109375" customWidth="1"/>
    <col min="5126" max="5126" width="15.85546875" customWidth="1"/>
    <col min="5127" max="5127" width="12.140625" customWidth="1"/>
    <col min="5128" max="5128" width="15.42578125" customWidth="1"/>
    <col min="5129" max="5129" width="17.140625" customWidth="1"/>
    <col min="5130" max="5130" width="12" customWidth="1"/>
    <col min="5131" max="5131" width="18.140625" customWidth="1"/>
    <col min="5132" max="5132" width="15.42578125" customWidth="1"/>
    <col min="5133" max="5133" width="10.42578125" customWidth="1"/>
    <col min="5134" max="5134" width="11.42578125" customWidth="1"/>
    <col min="5135" max="5135" width="20.140625" customWidth="1"/>
    <col min="5136" max="5136" width="18.85546875" customWidth="1"/>
    <col min="5137" max="5137" width="8.7109375" customWidth="1"/>
    <col min="5138" max="5138" width="15.42578125" customWidth="1"/>
    <col min="5139" max="5139" width="10.7109375" customWidth="1"/>
    <col min="5140" max="5140" width="15" customWidth="1"/>
    <col min="5375" max="5375" width="72.5703125" customWidth="1"/>
    <col min="5376" max="5376" width="17.7109375" customWidth="1"/>
    <col min="5377" max="5377" width="13.5703125" customWidth="1"/>
    <col min="5378" max="5378" width="16.7109375" customWidth="1"/>
    <col min="5379" max="5379" width="16.140625" customWidth="1"/>
    <col min="5380" max="5380" width="13.5703125" customWidth="1"/>
    <col min="5381" max="5381" width="15.7109375" customWidth="1"/>
    <col min="5382" max="5382" width="15.85546875" customWidth="1"/>
    <col min="5383" max="5383" width="12.140625" customWidth="1"/>
    <col min="5384" max="5384" width="15.42578125" customWidth="1"/>
    <col min="5385" max="5385" width="17.140625" customWidth="1"/>
    <col min="5386" max="5386" width="12" customWidth="1"/>
    <col min="5387" max="5387" width="18.140625" customWidth="1"/>
    <col min="5388" max="5388" width="15.42578125" customWidth="1"/>
    <col min="5389" max="5389" width="10.42578125" customWidth="1"/>
    <col min="5390" max="5390" width="11.42578125" customWidth="1"/>
    <col min="5391" max="5391" width="20.140625" customWidth="1"/>
    <col min="5392" max="5392" width="18.85546875" customWidth="1"/>
    <col min="5393" max="5393" width="8.7109375" customWidth="1"/>
    <col min="5394" max="5394" width="15.42578125" customWidth="1"/>
    <col min="5395" max="5395" width="10.7109375" customWidth="1"/>
    <col min="5396" max="5396" width="15" customWidth="1"/>
    <col min="5631" max="5631" width="72.5703125" customWidth="1"/>
    <col min="5632" max="5632" width="17.7109375" customWidth="1"/>
    <col min="5633" max="5633" width="13.5703125" customWidth="1"/>
    <col min="5634" max="5634" width="16.7109375" customWidth="1"/>
    <col min="5635" max="5635" width="16.140625" customWidth="1"/>
    <col min="5636" max="5636" width="13.5703125" customWidth="1"/>
    <col min="5637" max="5637" width="15.7109375" customWidth="1"/>
    <col min="5638" max="5638" width="15.85546875" customWidth="1"/>
    <col min="5639" max="5639" width="12.140625" customWidth="1"/>
    <col min="5640" max="5640" width="15.42578125" customWidth="1"/>
    <col min="5641" max="5641" width="17.140625" customWidth="1"/>
    <col min="5642" max="5642" width="12" customWidth="1"/>
    <col min="5643" max="5643" width="18.140625" customWidth="1"/>
    <col min="5644" max="5644" width="15.42578125" customWidth="1"/>
    <col min="5645" max="5645" width="10.42578125" customWidth="1"/>
    <col min="5646" max="5646" width="11.42578125" customWidth="1"/>
    <col min="5647" max="5647" width="20.140625" customWidth="1"/>
    <col min="5648" max="5648" width="18.85546875" customWidth="1"/>
    <col min="5649" max="5649" width="8.7109375" customWidth="1"/>
    <col min="5650" max="5650" width="15.42578125" customWidth="1"/>
    <col min="5651" max="5651" width="10.7109375" customWidth="1"/>
    <col min="5652" max="5652" width="15" customWidth="1"/>
    <col min="5887" max="5887" width="72.5703125" customWidth="1"/>
    <col min="5888" max="5888" width="17.7109375" customWidth="1"/>
    <col min="5889" max="5889" width="13.5703125" customWidth="1"/>
    <col min="5890" max="5890" width="16.7109375" customWidth="1"/>
    <col min="5891" max="5891" width="16.140625" customWidth="1"/>
    <col min="5892" max="5892" width="13.5703125" customWidth="1"/>
    <col min="5893" max="5893" width="15.7109375" customWidth="1"/>
    <col min="5894" max="5894" width="15.85546875" customWidth="1"/>
    <col min="5895" max="5895" width="12.140625" customWidth="1"/>
    <col min="5896" max="5896" width="15.42578125" customWidth="1"/>
    <col min="5897" max="5897" width="17.140625" customWidth="1"/>
    <col min="5898" max="5898" width="12" customWidth="1"/>
    <col min="5899" max="5899" width="18.140625" customWidth="1"/>
    <col min="5900" max="5900" width="15.42578125" customWidth="1"/>
    <col min="5901" max="5901" width="10.42578125" customWidth="1"/>
    <col min="5902" max="5902" width="11.42578125" customWidth="1"/>
    <col min="5903" max="5903" width="20.140625" customWidth="1"/>
    <col min="5904" max="5904" width="18.85546875" customWidth="1"/>
    <col min="5905" max="5905" width="8.7109375" customWidth="1"/>
    <col min="5906" max="5906" width="15.42578125" customWidth="1"/>
    <col min="5907" max="5907" width="10.7109375" customWidth="1"/>
    <col min="5908" max="5908" width="15" customWidth="1"/>
    <col min="6143" max="6143" width="72.5703125" customWidth="1"/>
    <col min="6144" max="6144" width="17.7109375" customWidth="1"/>
    <col min="6145" max="6145" width="13.5703125" customWidth="1"/>
    <col min="6146" max="6146" width="16.7109375" customWidth="1"/>
    <col min="6147" max="6147" width="16.140625" customWidth="1"/>
    <col min="6148" max="6148" width="13.5703125" customWidth="1"/>
    <col min="6149" max="6149" width="15.7109375" customWidth="1"/>
    <col min="6150" max="6150" width="15.85546875" customWidth="1"/>
    <col min="6151" max="6151" width="12.140625" customWidth="1"/>
    <col min="6152" max="6152" width="15.42578125" customWidth="1"/>
    <col min="6153" max="6153" width="17.140625" customWidth="1"/>
    <col min="6154" max="6154" width="12" customWidth="1"/>
    <col min="6155" max="6155" width="18.140625" customWidth="1"/>
    <col min="6156" max="6156" width="15.42578125" customWidth="1"/>
    <col min="6157" max="6157" width="10.42578125" customWidth="1"/>
    <col min="6158" max="6158" width="11.42578125" customWidth="1"/>
    <col min="6159" max="6159" width="20.140625" customWidth="1"/>
    <col min="6160" max="6160" width="18.85546875" customWidth="1"/>
    <col min="6161" max="6161" width="8.7109375" customWidth="1"/>
    <col min="6162" max="6162" width="15.42578125" customWidth="1"/>
    <col min="6163" max="6163" width="10.7109375" customWidth="1"/>
    <col min="6164" max="6164" width="15" customWidth="1"/>
    <col min="6399" max="6399" width="72.5703125" customWidth="1"/>
    <col min="6400" max="6400" width="17.7109375" customWidth="1"/>
    <col min="6401" max="6401" width="13.5703125" customWidth="1"/>
    <col min="6402" max="6402" width="16.7109375" customWidth="1"/>
    <col min="6403" max="6403" width="16.140625" customWidth="1"/>
    <col min="6404" max="6404" width="13.5703125" customWidth="1"/>
    <col min="6405" max="6405" width="15.7109375" customWidth="1"/>
    <col min="6406" max="6406" width="15.85546875" customWidth="1"/>
    <col min="6407" max="6407" width="12.140625" customWidth="1"/>
    <col min="6408" max="6408" width="15.42578125" customWidth="1"/>
    <col min="6409" max="6409" width="17.140625" customWidth="1"/>
    <col min="6410" max="6410" width="12" customWidth="1"/>
    <col min="6411" max="6411" width="18.140625" customWidth="1"/>
    <col min="6412" max="6412" width="15.42578125" customWidth="1"/>
    <col min="6413" max="6413" width="10.42578125" customWidth="1"/>
    <col min="6414" max="6414" width="11.42578125" customWidth="1"/>
    <col min="6415" max="6415" width="20.140625" customWidth="1"/>
    <col min="6416" max="6416" width="18.85546875" customWidth="1"/>
    <col min="6417" max="6417" width="8.7109375" customWidth="1"/>
    <col min="6418" max="6418" width="15.42578125" customWidth="1"/>
    <col min="6419" max="6419" width="10.7109375" customWidth="1"/>
    <col min="6420" max="6420" width="15" customWidth="1"/>
    <col min="6655" max="6655" width="72.5703125" customWidth="1"/>
    <col min="6656" max="6656" width="17.7109375" customWidth="1"/>
    <col min="6657" max="6657" width="13.5703125" customWidth="1"/>
    <col min="6658" max="6658" width="16.7109375" customWidth="1"/>
    <col min="6659" max="6659" width="16.140625" customWidth="1"/>
    <col min="6660" max="6660" width="13.5703125" customWidth="1"/>
    <col min="6661" max="6661" width="15.7109375" customWidth="1"/>
    <col min="6662" max="6662" width="15.85546875" customWidth="1"/>
    <col min="6663" max="6663" width="12.140625" customWidth="1"/>
    <col min="6664" max="6664" width="15.42578125" customWidth="1"/>
    <col min="6665" max="6665" width="17.140625" customWidth="1"/>
    <col min="6666" max="6666" width="12" customWidth="1"/>
    <col min="6667" max="6667" width="18.140625" customWidth="1"/>
    <col min="6668" max="6668" width="15.42578125" customWidth="1"/>
    <col min="6669" max="6669" width="10.42578125" customWidth="1"/>
    <col min="6670" max="6670" width="11.42578125" customWidth="1"/>
    <col min="6671" max="6671" width="20.140625" customWidth="1"/>
    <col min="6672" max="6672" width="18.85546875" customWidth="1"/>
    <col min="6673" max="6673" width="8.7109375" customWidth="1"/>
    <col min="6674" max="6674" width="15.42578125" customWidth="1"/>
    <col min="6675" max="6675" width="10.7109375" customWidth="1"/>
    <col min="6676" max="6676" width="15" customWidth="1"/>
    <col min="6911" max="6911" width="72.5703125" customWidth="1"/>
    <col min="6912" max="6912" width="17.7109375" customWidth="1"/>
    <col min="6913" max="6913" width="13.5703125" customWidth="1"/>
    <col min="6914" max="6914" width="16.7109375" customWidth="1"/>
    <col min="6915" max="6915" width="16.140625" customWidth="1"/>
    <col min="6916" max="6916" width="13.5703125" customWidth="1"/>
    <col min="6917" max="6917" width="15.7109375" customWidth="1"/>
    <col min="6918" max="6918" width="15.85546875" customWidth="1"/>
    <col min="6919" max="6919" width="12.140625" customWidth="1"/>
    <col min="6920" max="6920" width="15.42578125" customWidth="1"/>
    <col min="6921" max="6921" width="17.140625" customWidth="1"/>
    <col min="6922" max="6922" width="12" customWidth="1"/>
    <col min="6923" max="6923" width="18.140625" customWidth="1"/>
    <col min="6924" max="6924" width="15.42578125" customWidth="1"/>
    <col min="6925" max="6925" width="10.42578125" customWidth="1"/>
    <col min="6926" max="6926" width="11.42578125" customWidth="1"/>
    <col min="6927" max="6927" width="20.140625" customWidth="1"/>
    <col min="6928" max="6928" width="18.85546875" customWidth="1"/>
    <col min="6929" max="6929" width="8.7109375" customWidth="1"/>
    <col min="6930" max="6930" width="15.42578125" customWidth="1"/>
    <col min="6931" max="6931" width="10.7109375" customWidth="1"/>
    <col min="6932" max="6932" width="15" customWidth="1"/>
    <col min="7167" max="7167" width="72.5703125" customWidth="1"/>
    <col min="7168" max="7168" width="17.7109375" customWidth="1"/>
    <col min="7169" max="7169" width="13.5703125" customWidth="1"/>
    <col min="7170" max="7170" width="16.7109375" customWidth="1"/>
    <col min="7171" max="7171" width="16.140625" customWidth="1"/>
    <col min="7172" max="7172" width="13.5703125" customWidth="1"/>
    <col min="7173" max="7173" width="15.7109375" customWidth="1"/>
    <col min="7174" max="7174" width="15.85546875" customWidth="1"/>
    <col min="7175" max="7175" width="12.140625" customWidth="1"/>
    <col min="7176" max="7176" width="15.42578125" customWidth="1"/>
    <col min="7177" max="7177" width="17.140625" customWidth="1"/>
    <col min="7178" max="7178" width="12" customWidth="1"/>
    <col min="7179" max="7179" width="18.140625" customWidth="1"/>
    <col min="7180" max="7180" width="15.42578125" customWidth="1"/>
    <col min="7181" max="7181" width="10.42578125" customWidth="1"/>
    <col min="7182" max="7182" width="11.42578125" customWidth="1"/>
    <col min="7183" max="7183" width="20.140625" customWidth="1"/>
    <col min="7184" max="7184" width="18.85546875" customWidth="1"/>
    <col min="7185" max="7185" width="8.7109375" customWidth="1"/>
    <col min="7186" max="7186" width="15.42578125" customWidth="1"/>
    <col min="7187" max="7187" width="10.7109375" customWidth="1"/>
    <col min="7188" max="7188" width="15" customWidth="1"/>
    <col min="7423" max="7423" width="72.5703125" customWidth="1"/>
    <col min="7424" max="7424" width="17.7109375" customWidth="1"/>
    <col min="7425" max="7425" width="13.5703125" customWidth="1"/>
    <col min="7426" max="7426" width="16.7109375" customWidth="1"/>
    <col min="7427" max="7427" width="16.140625" customWidth="1"/>
    <col min="7428" max="7428" width="13.5703125" customWidth="1"/>
    <col min="7429" max="7429" width="15.7109375" customWidth="1"/>
    <col min="7430" max="7430" width="15.85546875" customWidth="1"/>
    <col min="7431" max="7431" width="12.140625" customWidth="1"/>
    <col min="7432" max="7432" width="15.42578125" customWidth="1"/>
    <col min="7433" max="7433" width="17.140625" customWidth="1"/>
    <col min="7434" max="7434" width="12" customWidth="1"/>
    <col min="7435" max="7435" width="18.140625" customWidth="1"/>
    <col min="7436" max="7436" width="15.42578125" customWidth="1"/>
    <col min="7437" max="7437" width="10.42578125" customWidth="1"/>
    <col min="7438" max="7438" width="11.42578125" customWidth="1"/>
    <col min="7439" max="7439" width="20.140625" customWidth="1"/>
    <col min="7440" max="7440" width="18.85546875" customWidth="1"/>
    <col min="7441" max="7441" width="8.7109375" customWidth="1"/>
    <col min="7442" max="7442" width="15.42578125" customWidth="1"/>
    <col min="7443" max="7443" width="10.7109375" customWidth="1"/>
    <col min="7444" max="7444" width="15" customWidth="1"/>
    <col min="7679" max="7679" width="72.5703125" customWidth="1"/>
    <col min="7680" max="7680" width="17.7109375" customWidth="1"/>
    <col min="7681" max="7681" width="13.5703125" customWidth="1"/>
    <col min="7682" max="7682" width="16.7109375" customWidth="1"/>
    <col min="7683" max="7683" width="16.140625" customWidth="1"/>
    <col min="7684" max="7684" width="13.5703125" customWidth="1"/>
    <col min="7685" max="7685" width="15.7109375" customWidth="1"/>
    <col min="7686" max="7686" width="15.85546875" customWidth="1"/>
    <col min="7687" max="7687" width="12.140625" customWidth="1"/>
    <col min="7688" max="7688" width="15.42578125" customWidth="1"/>
    <col min="7689" max="7689" width="17.140625" customWidth="1"/>
    <col min="7690" max="7690" width="12" customWidth="1"/>
    <col min="7691" max="7691" width="18.140625" customWidth="1"/>
    <col min="7692" max="7692" width="15.42578125" customWidth="1"/>
    <col min="7693" max="7693" width="10.42578125" customWidth="1"/>
    <col min="7694" max="7694" width="11.42578125" customWidth="1"/>
    <col min="7695" max="7695" width="20.140625" customWidth="1"/>
    <col min="7696" max="7696" width="18.85546875" customWidth="1"/>
    <col min="7697" max="7697" width="8.7109375" customWidth="1"/>
    <col min="7698" max="7698" width="15.42578125" customWidth="1"/>
    <col min="7699" max="7699" width="10.7109375" customWidth="1"/>
    <col min="7700" max="7700" width="15" customWidth="1"/>
    <col min="7935" max="7935" width="72.5703125" customWidth="1"/>
    <col min="7936" max="7936" width="17.7109375" customWidth="1"/>
    <col min="7937" max="7937" width="13.5703125" customWidth="1"/>
    <col min="7938" max="7938" width="16.7109375" customWidth="1"/>
    <col min="7939" max="7939" width="16.140625" customWidth="1"/>
    <col min="7940" max="7940" width="13.5703125" customWidth="1"/>
    <col min="7941" max="7941" width="15.7109375" customWidth="1"/>
    <col min="7942" max="7942" width="15.85546875" customWidth="1"/>
    <col min="7943" max="7943" width="12.140625" customWidth="1"/>
    <col min="7944" max="7944" width="15.42578125" customWidth="1"/>
    <col min="7945" max="7945" width="17.140625" customWidth="1"/>
    <col min="7946" max="7946" width="12" customWidth="1"/>
    <col min="7947" max="7947" width="18.140625" customWidth="1"/>
    <col min="7948" max="7948" width="15.42578125" customWidth="1"/>
    <col min="7949" max="7949" width="10.42578125" customWidth="1"/>
    <col min="7950" max="7950" width="11.42578125" customWidth="1"/>
    <col min="7951" max="7951" width="20.140625" customWidth="1"/>
    <col min="7952" max="7952" width="18.85546875" customWidth="1"/>
    <col min="7953" max="7953" width="8.7109375" customWidth="1"/>
    <col min="7954" max="7954" width="15.42578125" customWidth="1"/>
    <col min="7955" max="7955" width="10.7109375" customWidth="1"/>
    <col min="7956" max="7956" width="15" customWidth="1"/>
    <col min="8191" max="8191" width="72.5703125" customWidth="1"/>
    <col min="8192" max="8192" width="17.7109375" customWidth="1"/>
    <col min="8193" max="8193" width="13.5703125" customWidth="1"/>
    <col min="8194" max="8194" width="16.7109375" customWidth="1"/>
    <col min="8195" max="8195" width="16.140625" customWidth="1"/>
    <col min="8196" max="8196" width="13.5703125" customWidth="1"/>
    <col min="8197" max="8197" width="15.7109375" customWidth="1"/>
    <col min="8198" max="8198" width="15.85546875" customWidth="1"/>
    <col min="8199" max="8199" width="12.140625" customWidth="1"/>
    <col min="8200" max="8200" width="15.42578125" customWidth="1"/>
    <col min="8201" max="8201" width="17.140625" customWidth="1"/>
    <col min="8202" max="8202" width="12" customWidth="1"/>
    <col min="8203" max="8203" width="18.140625" customWidth="1"/>
    <col min="8204" max="8204" width="15.42578125" customWidth="1"/>
    <col min="8205" max="8205" width="10.42578125" customWidth="1"/>
    <col min="8206" max="8206" width="11.42578125" customWidth="1"/>
    <col min="8207" max="8207" width="20.140625" customWidth="1"/>
    <col min="8208" max="8208" width="18.85546875" customWidth="1"/>
    <col min="8209" max="8209" width="8.7109375" customWidth="1"/>
    <col min="8210" max="8210" width="15.42578125" customWidth="1"/>
    <col min="8211" max="8211" width="10.7109375" customWidth="1"/>
    <col min="8212" max="8212" width="15" customWidth="1"/>
    <col min="8447" max="8447" width="72.5703125" customWidth="1"/>
    <col min="8448" max="8448" width="17.7109375" customWidth="1"/>
    <col min="8449" max="8449" width="13.5703125" customWidth="1"/>
    <col min="8450" max="8450" width="16.7109375" customWidth="1"/>
    <col min="8451" max="8451" width="16.140625" customWidth="1"/>
    <col min="8452" max="8452" width="13.5703125" customWidth="1"/>
    <col min="8453" max="8453" width="15.7109375" customWidth="1"/>
    <col min="8454" max="8454" width="15.85546875" customWidth="1"/>
    <col min="8455" max="8455" width="12.140625" customWidth="1"/>
    <col min="8456" max="8456" width="15.42578125" customWidth="1"/>
    <col min="8457" max="8457" width="17.140625" customWidth="1"/>
    <col min="8458" max="8458" width="12" customWidth="1"/>
    <col min="8459" max="8459" width="18.140625" customWidth="1"/>
    <col min="8460" max="8460" width="15.42578125" customWidth="1"/>
    <col min="8461" max="8461" width="10.42578125" customWidth="1"/>
    <col min="8462" max="8462" width="11.42578125" customWidth="1"/>
    <col min="8463" max="8463" width="20.140625" customWidth="1"/>
    <col min="8464" max="8464" width="18.85546875" customWidth="1"/>
    <col min="8465" max="8465" width="8.7109375" customWidth="1"/>
    <col min="8466" max="8466" width="15.42578125" customWidth="1"/>
    <col min="8467" max="8467" width="10.7109375" customWidth="1"/>
    <col min="8468" max="8468" width="15" customWidth="1"/>
    <col min="8703" max="8703" width="72.5703125" customWidth="1"/>
    <col min="8704" max="8704" width="17.7109375" customWidth="1"/>
    <col min="8705" max="8705" width="13.5703125" customWidth="1"/>
    <col min="8706" max="8706" width="16.7109375" customWidth="1"/>
    <col min="8707" max="8707" width="16.140625" customWidth="1"/>
    <col min="8708" max="8708" width="13.5703125" customWidth="1"/>
    <col min="8709" max="8709" width="15.7109375" customWidth="1"/>
    <col min="8710" max="8710" width="15.85546875" customWidth="1"/>
    <col min="8711" max="8711" width="12.140625" customWidth="1"/>
    <col min="8712" max="8712" width="15.42578125" customWidth="1"/>
    <col min="8713" max="8713" width="17.140625" customWidth="1"/>
    <col min="8714" max="8714" width="12" customWidth="1"/>
    <col min="8715" max="8715" width="18.140625" customWidth="1"/>
    <col min="8716" max="8716" width="15.42578125" customWidth="1"/>
    <col min="8717" max="8717" width="10.42578125" customWidth="1"/>
    <col min="8718" max="8718" width="11.42578125" customWidth="1"/>
    <col min="8719" max="8719" width="20.140625" customWidth="1"/>
    <col min="8720" max="8720" width="18.85546875" customWidth="1"/>
    <col min="8721" max="8721" width="8.7109375" customWidth="1"/>
    <col min="8722" max="8722" width="15.42578125" customWidth="1"/>
    <col min="8723" max="8723" width="10.7109375" customWidth="1"/>
    <col min="8724" max="8724" width="15" customWidth="1"/>
    <col min="8959" max="8959" width="72.5703125" customWidth="1"/>
    <col min="8960" max="8960" width="17.7109375" customWidth="1"/>
    <col min="8961" max="8961" width="13.5703125" customWidth="1"/>
    <col min="8962" max="8962" width="16.7109375" customWidth="1"/>
    <col min="8963" max="8963" width="16.140625" customWidth="1"/>
    <col min="8964" max="8964" width="13.5703125" customWidth="1"/>
    <col min="8965" max="8965" width="15.7109375" customWidth="1"/>
    <col min="8966" max="8966" width="15.85546875" customWidth="1"/>
    <col min="8967" max="8967" width="12.140625" customWidth="1"/>
    <col min="8968" max="8968" width="15.42578125" customWidth="1"/>
    <col min="8969" max="8969" width="17.140625" customWidth="1"/>
    <col min="8970" max="8970" width="12" customWidth="1"/>
    <col min="8971" max="8971" width="18.140625" customWidth="1"/>
    <col min="8972" max="8972" width="15.42578125" customWidth="1"/>
    <col min="8973" max="8973" width="10.42578125" customWidth="1"/>
    <col min="8974" max="8974" width="11.42578125" customWidth="1"/>
    <col min="8975" max="8975" width="20.140625" customWidth="1"/>
    <col min="8976" max="8976" width="18.85546875" customWidth="1"/>
    <col min="8977" max="8977" width="8.7109375" customWidth="1"/>
    <col min="8978" max="8978" width="15.42578125" customWidth="1"/>
    <col min="8979" max="8979" width="10.7109375" customWidth="1"/>
    <col min="8980" max="8980" width="15" customWidth="1"/>
    <col min="9215" max="9215" width="72.5703125" customWidth="1"/>
    <col min="9216" max="9216" width="17.7109375" customWidth="1"/>
    <col min="9217" max="9217" width="13.5703125" customWidth="1"/>
    <col min="9218" max="9218" width="16.7109375" customWidth="1"/>
    <col min="9219" max="9219" width="16.140625" customWidth="1"/>
    <col min="9220" max="9220" width="13.5703125" customWidth="1"/>
    <col min="9221" max="9221" width="15.7109375" customWidth="1"/>
    <col min="9222" max="9222" width="15.85546875" customWidth="1"/>
    <col min="9223" max="9223" width="12.140625" customWidth="1"/>
    <col min="9224" max="9224" width="15.42578125" customWidth="1"/>
    <col min="9225" max="9225" width="17.140625" customWidth="1"/>
    <col min="9226" max="9226" width="12" customWidth="1"/>
    <col min="9227" max="9227" width="18.140625" customWidth="1"/>
    <col min="9228" max="9228" width="15.42578125" customWidth="1"/>
    <col min="9229" max="9229" width="10.42578125" customWidth="1"/>
    <col min="9230" max="9230" width="11.42578125" customWidth="1"/>
    <col min="9231" max="9231" width="20.140625" customWidth="1"/>
    <col min="9232" max="9232" width="18.85546875" customWidth="1"/>
    <col min="9233" max="9233" width="8.7109375" customWidth="1"/>
    <col min="9234" max="9234" width="15.42578125" customWidth="1"/>
    <col min="9235" max="9235" width="10.7109375" customWidth="1"/>
    <col min="9236" max="9236" width="15" customWidth="1"/>
    <col min="9471" max="9471" width="72.5703125" customWidth="1"/>
    <col min="9472" max="9472" width="17.7109375" customWidth="1"/>
    <col min="9473" max="9473" width="13.5703125" customWidth="1"/>
    <col min="9474" max="9474" width="16.7109375" customWidth="1"/>
    <col min="9475" max="9475" width="16.140625" customWidth="1"/>
    <col min="9476" max="9476" width="13.5703125" customWidth="1"/>
    <col min="9477" max="9477" width="15.7109375" customWidth="1"/>
    <col min="9478" max="9478" width="15.85546875" customWidth="1"/>
    <col min="9479" max="9479" width="12.140625" customWidth="1"/>
    <col min="9480" max="9480" width="15.42578125" customWidth="1"/>
    <col min="9481" max="9481" width="17.140625" customWidth="1"/>
    <col min="9482" max="9482" width="12" customWidth="1"/>
    <col min="9483" max="9483" width="18.140625" customWidth="1"/>
    <col min="9484" max="9484" width="15.42578125" customWidth="1"/>
    <col min="9485" max="9485" width="10.42578125" customWidth="1"/>
    <col min="9486" max="9486" width="11.42578125" customWidth="1"/>
    <col min="9487" max="9487" width="20.140625" customWidth="1"/>
    <col min="9488" max="9488" width="18.85546875" customWidth="1"/>
    <col min="9489" max="9489" width="8.7109375" customWidth="1"/>
    <col min="9490" max="9490" width="15.42578125" customWidth="1"/>
    <col min="9491" max="9491" width="10.7109375" customWidth="1"/>
    <col min="9492" max="9492" width="15" customWidth="1"/>
    <col min="9727" max="9727" width="72.5703125" customWidth="1"/>
    <col min="9728" max="9728" width="17.7109375" customWidth="1"/>
    <col min="9729" max="9729" width="13.5703125" customWidth="1"/>
    <col min="9730" max="9730" width="16.7109375" customWidth="1"/>
    <col min="9731" max="9731" width="16.140625" customWidth="1"/>
    <col min="9732" max="9732" width="13.5703125" customWidth="1"/>
    <col min="9733" max="9733" width="15.7109375" customWidth="1"/>
    <col min="9734" max="9734" width="15.85546875" customWidth="1"/>
    <col min="9735" max="9735" width="12.140625" customWidth="1"/>
    <col min="9736" max="9736" width="15.42578125" customWidth="1"/>
    <col min="9737" max="9737" width="17.140625" customWidth="1"/>
    <col min="9738" max="9738" width="12" customWidth="1"/>
    <col min="9739" max="9739" width="18.140625" customWidth="1"/>
    <col min="9740" max="9740" width="15.42578125" customWidth="1"/>
    <col min="9741" max="9741" width="10.42578125" customWidth="1"/>
    <col min="9742" max="9742" width="11.42578125" customWidth="1"/>
    <col min="9743" max="9743" width="20.140625" customWidth="1"/>
    <col min="9744" max="9744" width="18.85546875" customWidth="1"/>
    <col min="9745" max="9745" width="8.7109375" customWidth="1"/>
    <col min="9746" max="9746" width="15.42578125" customWidth="1"/>
    <col min="9747" max="9747" width="10.7109375" customWidth="1"/>
    <col min="9748" max="9748" width="15" customWidth="1"/>
    <col min="9983" max="9983" width="72.5703125" customWidth="1"/>
    <col min="9984" max="9984" width="17.7109375" customWidth="1"/>
    <col min="9985" max="9985" width="13.5703125" customWidth="1"/>
    <col min="9986" max="9986" width="16.7109375" customWidth="1"/>
    <col min="9987" max="9987" width="16.140625" customWidth="1"/>
    <col min="9988" max="9988" width="13.5703125" customWidth="1"/>
    <col min="9989" max="9989" width="15.7109375" customWidth="1"/>
    <col min="9990" max="9990" width="15.85546875" customWidth="1"/>
    <col min="9991" max="9991" width="12.140625" customWidth="1"/>
    <col min="9992" max="9992" width="15.42578125" customWidth="1"/>
    <col min="9993" max="9993" width="17.140625" customWidth="1"/>
    <col min="9994" max="9994" width="12" customWidth="1"/>
    <col min="9995" max="9995" width="18.140625" customWidth="1"/>
    <col min="9996" max="9996" width="15.42578125" customWidth="1"/>
    <col min="9997" max="9997" width="10.42578125" customWidth="1"/>
    <col min="9998" max="9998" width="11.42578125" customWidth="1"/>
    <col min="9999" max="9999" width="20.140625" customWidth="1"/>
    <col min="10000" max="10000" width="18.85546875" customWidth="1"/>
    <col min="10001" max="10001" width="8.7109375" customWidth="1"/>
    <col min="10002" max="10002" width="15.42578125" customWidth="1"/>
    <col min="10003" max="10003" width="10.7109375" customWidth="1"/>
    <col min="10004" max="10004" width="15" customWidth="1"/>
    <col min="10239" max="10239" width="72.5703125" customWidth="1"/>
    <col min="10240" max="10240" width="17.7109375" customWidth="1"/>
    <col min="10241" max="10241" width="13.5703125" customWidth="1"/>
    <col min="10242" max="10242" width="16.7109375" customWidth="1"/>
    <col min="10243" max="10243" width="16.140625" customWidth="1"/>
    <col min="10244" max="10244" width="13.5703125" customWidth="1"/>
    <col min="10245" max="10245" width="15.7109375" customWidth="1"/>
    <col min="10246" max="10246" width="15.85546875" customWidth="1"/>
    <col min="10247" max="10247" width="12.140625" customWidth="1"/>
    <col min="10248" max="10248" width="15.42578125" customWidth="1"/>
    <col min="10249" max="10249" width="17.140625" customWidth="1"/>
    <col min="10250" max="10250" width="12" customWidth="1"/>
    <col min="10251" max="10251" width="18.140625" customWidth="1"/>
    <col min="10252" max="10252" width="15.42578125" customWidth="1"/>
    <col min="10253" max="10253" width="10.42578125" customWidth="1"/>
    <col min="10254" max="10254" width="11.42578125" customWidth="1"/>
    <col min="10255" max="10255" width="20.140625" customWidth="1"/>
    <col min="10256" max="10256" width="18.85546875" customWidth="1"/>
    <col min="10257" max="10257" width="8.7109375" customWidth="1"/>
    <col min="10258" max="10258" width="15.42578125" customWidth="1"/>
    <col min="10259" max="10259" width="10.7109375" customWidth="1"/>
    <col min="10260" max="10260" width="15" customWidth="1"/>
    <col min="10495" max="10495" width="72.5703125" customWidth="1"/>
    <col min="10496" max="10496" width="17.7109375" customWidth="1"/>
    <col min="10497" max="10497" width="13.5703125" customWidth="1"/>
    <col min="10498" max="10498" width="16.7109375" customWidth="1"/>
    <col min="10499" max="10499" width="16.140625" customWidth="1"/>
    <col min="10500" max="10500" width="13.5703125" customWidth="1"/>
    <col min="10501" max="10501" width="15.7109375" customWidth="1"/>
    <col min="10502" max="10502" width="15.85546875" customWidth="1"/>
    <col min="10503" max="10503" width="12.140625" customWidth="1"/>
    <col min="10504" max="10504" width="15.42578125" customWidth="1"/>
    <col min="10505" max="10505" width="17.140625" customWidth="1"/>
    <col min="10506" max="10506" width="12" customWidth="1"/>
    <col min="10507" max="10507" width="18.140625" customWidth="1"/>
    <col min="10508" max="10508" width="15.42578125" customWidth="1"/>
    <col min="10509" max="10509" width="10.42578125" customWidth="1"/>
    <col min="10510" max="10510" width="11.42578125" customWidth="1"/>
    <col min="10511" max="10511" width="20.140625" customWidth="1"/>
    <col min="10512" max="10512" width="18.85546875" customWidth="1"/>
    <col min="10513" max="10513" width="8.7109375" customWidth="1"/>
    <col min="10514" max="10514" width="15.42578125" customWidth="1"/>
    <col min="10515" max="10515" width="10.7109375" customWidth="1"/>
    <col min="10516" max="10516" width="15" customWidth="1"/>
    <col min="10751" max="10751" width="72.5703125" customWidth="1"/>
    <col min="10752" max="10752" width="17.7109375" customWidth="1"/>
    <col min="10753" max="10753" width="13.5703125" customWidth="1"/>
    <col min="10754" max="10754" width="16.7109375" customWidth="1"/>
    <col min="10755" max="10755" width="16.140625" customWidth="1"/>
    <col min="10756" max="10756" width="13.5703125" customWidth="1"/>
    <col min="10757" max="10757" width="15.7109375" customWidth="1"/>
    <col min="10758" max="10758" width="15.85546875" customWidth="1"/>
    <col min="10759" max="10759" width="12.140625" customWidth="1"/>
    <col min="10760" max="10760" width="15.42578125" customWidth="1"/>
    <col min="10761" max="10761" width="17.140625" customWidth="1"/>
    <col min="10762" max="10762" width="12" customWidth="1"/>
    <col min="10763" max="10763" width="18.140625" customWidth="1"/>
    <col min="10764" max="10764" width="15.42578125" customWidth="1"/>
    <col min="10765" max="10765" width="10.42578125" customWidth="1"/>
    <col min="10766" max="10766" width="11.42578125" customWidth="1"/>
    <col min="10767" max="10767" width="20.140625" customWidth="1"/>
    <col min="10768" max="10768" width="18.85546875" customWidth="1"/>
    <col min="10769" max="10769" width="8.7109375" customWidth="1"/>
    <col min="10770" max="10770" width="15.42578125" customWidth="1"/>
    <col min="10771" max="10771" width="10.7109375" customWidth="1"/>
    <col min="10772" max="10772" width="15" customWidth="1"/>
    <col min="11007" max="11007" width="72.5703125" customWidth="1"/>
    <col min="11008" max="11008" width="17.7109375" customWidth="1"/>
    <col min="11009" max="11009" width="13.5703125" customWidth="1"/>
    <col min="11010" max="11010" width="16.7109375" customWidth="1"/>
    <col min="11011" max="11011" width="16.140625" customWidth="1"/>
    <col min="11012" max="11012" width="13.5703125" customWidth="1"/>
    <col min="11013" max="11013" width="15.7109375" customWidth="1"/>
    <col min="11014" max="11014" width="15.85546875" customWidth="1"/>
    <col min="11015" max="11015" width="12.140625" customWidth="1"/>
    <col min="11016" max="11016" width="15.42578125" customWidth="1"/>
    <col min="11017" max="11017" width="17.140625" customWidth="1"/>
    <col min="11018" max="11018" width="12" customWidth="1"/>
    <col min="11019" max="11019" width="18.140625" customWidth="1"/>
    <col min="11020" max="11020" width="15.42578125" customWidth="1"/>
    <col min="11021" max="11021" width="10.42578125" customWidth="1"/>
    <col min="11022" max="11022" width="11.42578125" customWidth="1"/>
    <col min="11023" max="11023" width="20.140625" customWidth="1"/>
    <col min="11024" max="11024" width="18.85546875" customWidth="1"/>
    <col min="11025" max="11025" width="8.7109375" customWidth="1"/>
    <col min="11026" max="11026" width="15.42578125" customWidth="1"/>
    <col min="11027" max="11027" width="10.7109375" customWidth="1"/>
    <col min="11028" max="11028" width="15" customWidth="1"/>
    <col min="11263" max="11263" width="72.5703125" customWidth="1"/>
    <col min="11264" max="11264" width="17.7109375" customWidth="1"/>
    <col min="11265" max="11265" width="13.5703125" customWidth="1"/>
    <col min="11266" max="11266" width="16.7109375" customWidth="1"/>
    <col min="11267" max="11267" width="16.140625" customWidth="1"/>
    <col min="11268" max="11268" width="13.5703125" customWidth="1"/>
    <col min="11269" max="11269" width="15.7109375" customWidth="1"/>
    <col min="11270" max="11270" width="15.85546875" customWidth="1"/>
    <col min="11271" max="11271" width="12.140625" customWidth="1"/>
    <col min="11272" max="11272" width="15.42578125" customWidth="1"/>
    <col min="11273" max="11273" width="17.140625" customWidth="1"/>
    <col min="11274" max="11274" width="12" customWidth="1"/>
    <col min="11275" max="11275" width="18.140625" customWidth="1"/>
    <col min="11276" max="11276" width="15.42578125" customWidth="1"/>
    <col min="11277" max="11277" width="10.42578125" customWidth="1"/>
    <col min="11278" max="11278" width="11.42578125" customWidth="1"/>
    <col min="11279" max="11279" width="20.140625" customWidth="1"/>
    <col min="11280" max="11280" width="18.85546875" customWidth="1"/>
    <col min="11281" max="11281" width="8.7109375" customWidth="1"/>
    <col min="11282" max="11282" width="15.42578125" customWidth="1"/>
    <col min="11283" max="11283" width="10.7109375" customWidth="1"/>
    <col min="11284" max="11284" width="15" customWidth="1"/>
    <col min="11519" max="11519" width="72.5703125" customWidth="1"/>
    <col min="11520" max="11520" width="17.7109375" customWidth="1"/>
    <col min="11521" max="11521" width="13.5703125" customWidth="1"/>
    <col min="11522" max="11522" width="16.7109375" customWidth="1"/>
    <col min="11523" max="11523" width="16.140625" customWidth="1"/>
    <col min="11524" max="11524" width="13.5703125" customWidth="1"/>
    <col min="11525" max="11525" width="15.7109375" customWidth="1"/>
    <col min="11526" max="11526" width="15.85546875" customWidth="1"/>
    <col min="11527" max="11527" width="12.140625" customWidth="1"/>
    <col min="11528" max="11528" width="15.42578125" customWidth="1"/>
    <col min="11529" max="11529" width="17.140625" customWidth="1"/>
    <col min="11530" max="11530" width="12" customWidth="1"/>
    <col min="11531" max="11531" width="18.140625" customWidth="1"/>
    <col min="11532" max="11532" width="15.42578125" customWidth="1"/>
    <col min="11533" max="11533" width="10.42578125" customWidth="1"/>
    <col min="11534" max="11534" width="11.42578125" customWidth="1"/>
    <col min="11535" max="11535" width="20.140625" customWidth="1"/>
    <col min="11536" max="11536" width="18.85546875" customWidth="1"/>
    <col min="11537" max="11537" width="8.7109375" customWidth="1"/>
    <col min="11538" max="11538" width="15.42578125" customWidth="1"/>
    <col min="11539" max="11539" width="10.7109375" customWidth="1"/>
    <col min="11540" max="11540" width="15" customWidth="1"/>
    <col min="11775" max="11775" width="72.5703125" customWidth="1"/>
    <col min="11776" max="11776" width="17.7109375" customWidth="1"/>
    <col min="11777" max="11777" width="13.5703125" customWidth="1"/>
    <col min="11778" max="11778" width="16.7109375" customWidth="1"/>
    <col min="11779" max="11779" width="16.140625" customWidth="1"/>
    <col min="11780" max="11780" width="13.5703125" customWidth="1"/>
    <col min="11781" max="11781" width="15.7109375" customWidth="1"/>
    <col min="11782" max="11782" width="15.85546875" customWidth="1"/>
    <col min="11783" max="11783" width="12.140625" customWidth="1"/>
    <col min="11784" max="11784" width="15.42578125" customWidth="1"/>
    <col min="11785" max="11785" width="17.140625" customWidth="1"/>
    <col min="11786" max="11786" width="12" customWidth="1"/>
    <col min="11787" max="11787" width="18.140625" customWidth="1"/>
    <col min="11788" max="11788" width="15.42578125" customWidth="1"/>
    <col min="11789" max="11789" width="10.42578125" customWidth="1"/>
    <col min="11790" max="11790" width="11.42578125" customWidth="1"/>
    <col min="11791" max="11791" width="20.140625" customWidth="1"/>
    <col min="11792" max="11792" width="18.85546875" customWidth="1"/>
    <col min="11793" max="11793" width="8.7109375" customWidth="1"/>
    <col min="11794" max="11794" width="15.42578125" customWidth="1"/>
    <col min="11795" max="11795" width="10.7109375" customWidth="1"/>
    <col min="11796" max="11796" width="15" customWidth="1"/>
    <col min="12031" max="12031" width="72.5703125" customWidth="1"/>
    <col min="12032" max="12032" width="17.7109375" customWidth="1"/>
    <col min="12033" max="12033" width="13.5703125" customWidth="1"/>
    <col min="12034" max="12034" width="16.7109375" customWidth="1"/>
    <col min="12035" max="12035" width="16.140625" customWidth="1"/>
    <col min="12036" max="12036" width="13.5703125" customWidth="1"/>
    <col min="12037" max="12037" width="15.7109375" customWidth="1"/>
    <col min="12038" max="12038" width="15.85546875" customWidth="1"/>
    <col min="12039" max="12039" width="12.140625" customWidth="1"/>
    <col min="12040" max="12040" width="15.42578125" customWidth="1"/>
    <col min="12041" max="12041" width="17.140625" customWidth="1"/>
    <col min="12042" max="12042" width="12" customWidth="1"/>
    <col min="12043" max="12043" width="18.140625" customWidth="1"/>
    <col min="12044" max="12044" width="15.42578125" customWidth="1"/>
    <col min="12045" max="12045" width="10.42578125" customWidth="1"/>
    <col min="12046" max="12046" width="11.42578125" customWidth="1"/>
    <col min="12047" max="12047" width="20.140625" customWidth="1"/>
    <col min="12048" max="12048" width="18.85546875" customWidth="1"/>
    <col min="12049" max="12049" width="8.7109375" customWidth="1"/>
    <col min="12050" max="12050" width="15.42578125" customWidth="1"/>
    <col min="12051" max="12051" width="10.7109375" customWidth="1"/>
    <col min="12052" max="12052" width="15" customWidth="1"/>
    <col min="12287" max="12287" width="72.5703125" customWidth="1"/>
    <col min="12288" max="12288" width="17.7109375" customWidth="1"/>
    <col min="12289" max="12289" width="13.5703125" customWidth="1"/>
    <col min="12290" max="12290" width="16.7109375" customWidth="1"/>
    <col min="12291" max="12291" width="16.140625" customWidth="1"/>
    <col min="12292" max="12292" width="13.5703125" customWidth="1"/>
    <col min="12293" max="12293" width="15.7109375" customWidth="1"/>
    <col min="12294" max="12294" width="15.85546875" customWidth="1"/>
    <col min="12295" max="12295" width="12.140625" customWidth="1"/>
    <col min="12296" max="12296" width="15.42578125" customWidth="1"/>
    <col min="12297" max="12297" width="17.140625" customWidth="1"/>
    <col min="12298" max="12298" width="12" customWidth="1"/>
    <col min="12299" max="12299" width="18.140625" customWidth="1"/>
    <col min="12300" max="12300" width="15.42578125" customWidth="1"/>
    <col min="12301" max="12301" width="10.42578125" customWidth="1"/>
    <col min="12302" max="12302" width="11.42578125" customWidth="1"/>
    <col min="12303" max="12303" width="20.140625" customWidth="1"/>
    <col min="12304" max="12304" width="18.85546875" customWidth="1"/>
    <col min="12305" max="12305" width="8.7109375" customWidth="1"/>
    <col min="12306" max="12306" width="15.42578125" customWidth="1"/>
    <col min="12307" max="12307" width="10.7109375" customWidth="1"/>
    <col min="12308" max="12308" width="15" customWidth="1"/>
    <col min="12543" max="12543" width="72.5703125" customWidth="1"/>
    <col min="12544" max="12544" width="17.7109375" customWidth="1"/>
    <col min="12545" max="12545" width="13.5703125" customWidth="1"/>
    <col min="12546" max="12546" width="16.7109375" customWidth="1"/>
    <col min="12547" max="12547" width="16.140625" customWidth="1"/>
    <col min="12548" max="12548" width="13.5703125" customWidth="1"/>
    <col min="12549" max="12549" width="15.7109375" customWidth="1"/>
    <col min="12550" max="12550" width="15.85546875" customWidth="1"/>
    <col min="12551" max="12551" width="12.140625" customWidth="1"/>
    <col min="12552" max="12552" width="15.42578125" customWidth="1"/>
    <col min="12553" max="12553" width="17.140625" customWidth="1"/>
    <col min="12554" max="12554" width="12" customWidth="1"/>
    <col min="12555" max="12555" width="18.140625" customWidth="1"/>
    <col min="12556" max="12556" width="15.42578125" customWidth="1"/>
    <col min="12557" max="12557" width="10.42578125" customWidth="1"/>
    <col min="12558" max="12558" width="11.42578125" customWidth="1"/>
    <col min="12559" max="12559" width="20.140625" customWidth="1"/>
    <col min="12560" max="12560" width="18.85546875" customWidth="1"/>
    <col min="12561" max="12561" width="8.7109375" customWidth="1"/>
    <col min="12562" max="12562" width="15.42578125" customWidth="1"/>
    <col min="12563" max="12563" width="10.7109375" customWidth="1"/>
    <col min="12564" max="12564" width="15" customWidth="1"/>
    <col min="12799" max="12799" width="72.5703125" customWidth="1"/>
    <col min="12800" max="12800" width="17.7109375" customWidth="1"/>
    <col min="12801" max="12801" width="13.5703125" customWidth="1"/>
    <col min="12802" max="12802" width="16.7109375" customWidth="1"/>
    <col min="12803" max="12803" width="16.140625" customWidth="1"/>
    <col min="12804" max="12804" width="13.5703125" customWidth="1"/>
    <col min="12805" max="12805" width="15.7109375" customWidth="1"/>
    <col min="12806" max="12806" width="15.85546875" customWidth="1"/>
    <col min="12807" max="12807" width="12.140625" customWidth="1"/>
    <col min="12808" max="12808" width="15.42578125" customWidth="1"/>
    <col min="12809" max="12809" width="17.140625" customWidth="1"/>
    <col min="12810" max="12810" width="12" customWidth="1"/>
    <col min="12811" max="12811" width="18.140625" customWidth="1"/>
    <col min="12812" max="12812" width="15.42578125" customWidth="1"/>
    <col min="12813" max="12813" width="10.42578125" customWidth="1"/>
    <col min="12814" max="12814" width="11.42578125" customWidth="1"/>
    <col min="12815" max="12815" width="20.140625" customWidth="1"/>
    <col min="12816" max="12816" width="18.85546875" customWidth="1"/>
    <col min="12817" max="12817" width="8.7109375" customWidth="1"/>
    <col min="12818" max="12818" width="15.42578125" customWidth="1"/>
    <col min="12819" max="12819" width="10.7109375" customWidth="1"/>
    <col min="12820" max="12820" width="15" customWidth="1"/>
    <col min="13055" max="13055" width="72.5703125" customWidth="1"/>
    <col min="13056" max="13056" width="17.7109375" customWidth="1"/>
    <col min="13057" max="13057" width="13.5703125" customWidth="1"/>
    <col min="13058" max="13058" width="16.7109375" customWidth="1"/>
    <col min="13059" max="13059" width="16.140625" customWidth="1"/>
    <col min="13060" max="13060" width="13.5703125" customWidth="1"/>
    <col min="13061" max="13061" width="15.7109375" customWidth="1"/>
    <col min="13062" max="13062" width="15.85546875" customWidth="1"/>
    <col min="13063" max="13063" width="12.140625" customWidth="1"/>
    <col min="13064" max="13064" width="15.42578125" customWidth="1"/>
    <col min="13065" max="13065" width="17.140625" customWidth="1"/>
    <col min="13066" max="13066" width="12" customWidth="1"/>
    <col min="13067" max="13067" width="18.140625" customWidth="1"/>
    <col min="13068" max="13068" width="15.42578125" customWidth="1"/>
    <col min="13069" max="13069" width="10.42578125" customWidth="1"/>
    <col min="13070" max="13070" width="11.42578125" customWidth="1"/>
    <col min="13071" max="13071" width="20.140625" customWidth="1"/>
    <col min="13072" max="13072" width="18.85546875" customWidth="1"/>
    <col min="13073" max="13073" width="8.7109375" customWidth="1"/>
    <col min="13074" max="13074" width="15.42578125" customWidth="1"/>
    <col min="13075" max="13075" width="10.7109375" customWidth="1"/>
    <col min="13076" max="13076" width="15" customWidth="1"/>
    <col min="13311" max="13311" width="72.5703125" customWidth="1"/>
    <col min="13312" max="13312" width="17.7109375" customWidth="1"/>
    <col min="13313" max="13313" width="13.5703125" customWidth="1"/>
    <col min="13314" max="13314" width="16.7109375" customWidth="1"/>
    <col min="13315" max="13315" width="16.140625" customWidth="1"/>
    <col min="13316" max="13316" width="13.5703125" customWidth="1"/>
    <col min="13317" max="13317" width="15.7109375" customWidth="1"/>
    <col min="13318" max="13318" width="15.85546875" customWidth="1"/>
    <col min="13319" max="13319" width="12.140625" customWidth="1"/>
    <col min="13320" max="13320" width="15.42578125" customWidth="1"/>
    <col min="13321" max="13321" width="17.140625" customWidth="1"/>
    <col min="13322" max="13322" width="12" customWidth="1"/>
    <col min="13323" max="13323" width="18.140625" customWidth="1"/>
    <col min="13324" max="13324" width="15.42578125" customWidth="1"/>
    <col min="13325" max="13325" width="10.42578125" customWidth="1"/>
    <col min="13326" max="13326" width="11.42578125" customWidth="1"/>
    <col min="13327" max="13327" width="20.140625" customWidth="1"/>
    <col min="13328" max="13328" width="18.85546875" customWidth="1"/>
    <col min="13329" max="13329" width="8.7109375" customWidth="1"/>
    <col min="13330" max="13330" width="15.42578125" customWidth="1"/>
    <col min="13331" max="13331" width="10.7109375" customWidth="1"/>
    <col min="13332" max="13332" width="15" customWidth="1"/>
    <col min="13567" max="13567" width="72.5703125" customWidth="1"/>
    <col min="13568" max="13568" width="17.7109375" customWidth="1"/>
    <col min="13569" max="13569" width="13.5703125" customWidth="1"/>
    <col min="13570" max="13570" width="16.7109375" customWidth="1"/>
    <col min="13571" max="13571" width="16.140625" customWidth="1"/>
    <col min="13572" max="13572" width="13.5703125" customWidth="1"/>
    <col min="13573" max="13573" width="15.7109375" customWidth="1"/>
    <col min="13574" max="13574" width="15.85546875" customWidth="1"/>
    <col min="13575" max="13575" width="12.140625" customWidth="1"/>
    <col min="13576" max="13576" width="15.42578125" customWidth="1"/>
    <col min="13577" max="13577" width="17.140625" customWidth="1"/>
    <col min="13578" max="13578" width="12" customWidth="1"/>
    <col min="13579" max="13579" width="18.140625" customWidth="1"/>
    <col min="13580" max="13580" width="15.42578125" customWidth="1"/>
    <col min="13581" max="13581" width="10.42578125" customWidth="1"/>
    <col min="13582" max="13582" width="11.42578125" customWidth="1"/>
    <col min="13583" max="13583" width="20.140625" customWidth="1"/>
    <col min="13584" max="13584" width="18.85546875" customWidth="1"/>
    <col min="13585" max="13585" width="8.7109375" customWidth="1"/>
    <col min="13586" max="13586" width="15.42578125" customWidth="1"/>
    <col min="13587" max="13587" width="10.7109375" customWidth="1"/>
    <col min="13588" max="13588" width="15" customWidth="1"/>
    <col min="13823" max="13823" width="72.5703125" customWidth="1"/>
    <col min="13824" max="13824" width="17.7109375" customWidth="1"/>
    <col min="13825" max="13825" width="13.5703125" customWidth="1"/>
    <col min="13826" max="13826" width="16.7109375" customWidth="1"/>
    <col min="13827" max="13827" width="16.140625" customWidth="1"/>
    <col min="13828" max="13828" width="13.5703125" customWidth="1"/>
    <col min="13829" max="13829" width="15.7109375" customWidth="1"/>
    <col min="13830" max="13830" width="15.85546875" customWidth="1"/>
    <col min="13831" max="13831" width="12.140625" customWidth="1"/>
    <col min="13832" max="13832" width="15.42578125" customWidth="1"/>
    <col min="13833" max="13833" width="17.140625" customWidth="1"/>
    <col min="13834" max="13834" width="12" customWidth="1"/>
    <col min="13835" max="13835" width="18.140625" customWidth="1"/>
    <col min="13836" max="13836" width="15.42578125" customWidth="1"/>
    <col min="13837" max="13837" width="10.42578125" customWidth="1"/>
    <col min="13838" max="13838" width="11.42578125" customWidth="1"/>
    <col min="13839" max="13839" width="20.140625" customWidth="1"/>
    <col min="13840" max="13840" width="18.85546875" customWidth="1"/>
    <col min="13841" max="13841" width="8.7109375" customWidth="1"/>
    <col min="13842" max="13842" width="15.42578125" customWidth="1"/>
    <col min="13843" max="13843" width="10.7109375" customWidth="1"/>
    <col min="13844" max="13844" width="15" customWidth="1"/>
    <col min="14079" max="14079" width="72.5703125" customWidth="1"/>
    <col min="14080" max="14080" width="17.7109375" customWidth="1"/>
    <col min="14081" max="14081" width="13.5703125" customWidth="1"/>
    <col min="14082" max="14082" width="16.7109375" customWidth="1"/>
    <col min="14083" max="14083" width="16.140625" customWidth="1"/>
    <col min="14084" max="14084" width="13.5703125" customWidth="1"/>
    <col min="14085" max="14085" width="15.7109375" customWidth="1"/>
    <col min="14086" max="14086" width="15.85546875" customWidth="1"/>
    <col min="14087" max="14087" width="12.140625" customWidth="1"/>
    <col min="14088" max="14088" width="15.42578125" customWidth="1"/>
    <col min="14089" max="14089" width="17.140625" customWidth="1"/>
    <col min="14090" max="14090" width="12" customWidth="1"/>
    <col min="14091" max="14091" width="18.140625" customWidth="1"/>
    <col min="14092" max="14092" width="15.42578125" customWidth="1"/>
    <col min="14093" max="14093" width="10.42578125" customWidth="1"/>
    <col min="14094" max="14094" width="11.42578125" customWidth="1"/>
    <col min="14095" max="14095" width="20.140625" customWidth="1"/>
    <col min="14096" max="14096" width="18.85546875" customWidth="1"/>
    <col min="14097" max="14097" width="8.7109375" customWidth="1"/>
    <col min="14098" max="14098" width="15.42578125" customWidth="1"/>
    <col min="14099" max="14099" width="10.7109375" customWidth="1"/>
    <col min="14100" max="14100" width="15" customWidth="1"/>
    <col min="14335" max="14335" width="72.5703125" customWidth="1"/>
    <col min="14336" max="14336" width="17.7109375" customWidth="1"/>
    <col min="14337" max="14337" width="13.5703125" customWidth="1"/>
    <col min="14338" max="14338" width="16.7109375" customWidth="1"/>
    <col min="14339" max="14339" width="16.140625" customWidth="1"/>
    <col min="14340" max="14340" width="13.5703125" customWidth="1"/>
    <col min="14341" max="14341" width="15.7109375" customWidth="1"/>
    <col min="14342" max="14342" width="15.85546875" customWidth="1"/>
    <col min="14343" max="14343" width="12.140625" customWidth="1"/>
    <col min="14344" max="14344" width="15.42578125" customWidth="1"/>
    <col min="14345" max="14345" width="17.140625" customWidth="1"/>
    <col min="14346" max="14346" width="12" customWidth="1"/>
    <col min="14347" max="14347" width="18.140625" customWidth="1"/>
    <col min="14348" max="14348" width="15.42578125" customWidth="1"/>
    <col min="14349" max="14349" width="10.42578125" customWidth="1"/>
    <col min="14350" max="14350" width="11.42578125" customWidth="1"/>
    <col min="14351" max="14351" width="20.140625" customWidth="1"/>
    <col min="14352" max="14352" width="18.85546875" customWidth="1"/>
    <col min="14353" max="14353" width="8.7109375" customWidth="1"/>
    <col min="14354" max="14354" width="15.42578125" customWidth="1"/>
    <col min="14355" max="14355" width="10.7109375" customWidth="1"/>
    <col min="14356" max="14356" width="15" customWidth="1"/>
    <col min="14591" max="14591" width="72.5703125" customWidth="1"/>
    <col min="14592" max="14592" width="17.7109375" customWidth="1"/>
    <col min="14593" max="14593" width="13.5703125" customWidth="1"/>
    <col min="14594" max="14594" width="16.7109375" customWidth="1"/>
    <col min="14595" max="14595" width="16.140625" customWidth="1"/>
    <col min="14596" max="14596" width="13.5703125" customWidth="1"/>
    <col min="14597" max="14597" width="15.7109375" customWidth="1"/>
    <col min="14598" max="14598" width="15.85546875" customWidth="1"/>
    <col min="14599" max="14599" width="12.140625" customWidth="1"/>
    <col min="14600" max="14600" width="15.42578125" customWidth="1"/>
    <col min="14601" max="14601" width="17.140625" customWidth="1"/>
    <col min="14602" max="14602" width="12" customWidth="1"/>
    <col min="14603" max="14603" width="18.140625" customWidth="1"/>
    <col min="14604" max="14604" width="15.42578125" customWidth="1"/>
    <col min="14605" max="14605" width="10.42578125" customWidth="1"/>
    <col min="14606" max="14606" width="11.42578125" customWidth="1"/>
    <col min="14607" max="14607" width="20.140625" customWidth="1"/>
    <col min="14608" max="14608" width="18.85546875" customWidth="1"/>
    <col min="14609" max="14609" width="8.7109375" customWidth="1"/>
    <col min="14610" max="14610" width="15.42578125" customWidth="1"/>
    <col min="14611" max="14611" width="10.7109375" customWidth="1"/>
    <col min="14612" max="14612" width="15" customWidth="1"/>
    <col min="14847" max="14847" width="72.5703125" customWidth="1"/>
    <col min="14848" max="14848" width="17.7109375" customWidth="1"/>
    <col min="14849" max="14849" width="13.5703125" customWidth="1"/>
    <col min="14850" max="14850" width="16.7109375" customWidth="1"/>
    <col min="14851" max="14851" width="16.140625" customWidth="1"/>
    <col min="14852" max="14852" width="13.5703125" customWidth="1"/>
    <col min="14853" max="14853" width="15.7109375" customWidth="1"/>
    <col min="14854" max="14854" width="15.85546875" customWidth="1"/>
    <col min="14855" max="14855" width="12.140625" customWidth="1"/>
    <col min="14856" max="14856" width="15.42578125" customWidth="1"/>
    <col min="14857" max="14857" width="17.140625" customWidth="1"/>
    <col min="14858" max="14858" width="12" customWidth="1"/>
    <col min="14859" max="14859" width="18.140625" customWidth="1"/>
    <col min="14860" max="14860" width="15.42578125" customWidth="1"/>
    <col min="14861" max="14861" width="10.42578125" customWidth="1"/>
    <col min="14862" max="14862" width="11.42578125" customWidth="1"/>
    <col min="14863" max="14863" width="20.140625" customWidth="1"/>
    <col min="14864" max="14864" width="18.85546875" customWidth="1"/>
    <col min="14865" max="14865" width="8.7109375" customWidth="1"/>
    <col min="14866" max="14866" width="15.42578125" customWidth="1"/>
    <col min="14867" max="14867" width="10.7109375" customWidth="1"/>
    <col min="14868" max="14868" width="15" customWidth="1"/>
    <col min="15103" max="15103" width="72.5703125" customWidth="1"/>
    <col min="15104" max="15104" width="17.7109375" customWidth="1"/>
    <col min="15105" max="15105" width="13.5703125" customWidth="1"/>
    <col min="15106" max="15106" width="16.7109375" customWidth="1"/>
    <col min="15107" max="15107" width="16.140625" customWidth="1"/>
    <col min="15108" max="15108" width="13.5703125" customWidth="1"/>
    <col min="15109" max="15109" width="15.7109375" customWidth="1"/>
    <col min="15110" max="15110" width="15.85546875" customWidth="1"/>
    <col min="15111" max="15111" width="12.140625" customWidth="1"/>
    <col min="15112" max="15112" width="15.42578125" customWidth="1"/>
    <col min="15113" max="15113" width="17.140625" customWidth="1"/>
    <col min="15114" max="15114" width="12" customWidth="1"/>
    <col min="15115" max="15115" width="18.140625" customWidth="1"/>
    <col min="15116" max="15116" width="15.42578125" customWidth="1"/>
    <col min="15117" max="15117" width="10.42578125" customWidth="1"/>
    <col min="15118" max="15118" width="11.42578125" customWidth="1"/>
    <col min="15119" max="15119" width="20.140625" customWidth="1"/>
    <col min="15120" max="15120" width="18.85546875" customWidth="1"/>
    <col min="15121" max="15121" width="8.7109375" customWidth="1"/>
    <col min="15122" max="15122" width="15.42578125" customWidth="1"/>
    <col min="15123" max="15123" width="10.7109375" customWidth="1"/>
    <col min="15124" max="15124" width="15" customWidth="1"/>
    <col min="15359" max="15359" width="72.5703125" customWidth="1"/>
    <col min="15360" max="15360" width="17.7109375" customWidth="1"/>
    <col min="15361" max="15361" width="13.5703125" customWidth="1"/>
    <col min="15362" max="15362" width="16.7109375" customWidth="1"/>
    <col min="15363" max="15363" width="16.140625" customWidth="1"/>
    <col min="15364" max="15364" width="13.5703125" customWidth="1"/>
    <col min="15365" max="15365" width="15.7109375" customWidth="1"/>
    <col min="15366" max="15366" width="15.85546875" customWidth="1"/>
    <col min="15367" max="15367" width="12.140625" customWidth="1"/>
    <col min="15368" max="15368" width="15.42578125" customWidth="1"/>
    <col min="15369" max="15369" width="17.140625" customWidth="1"/>
    <col min="15370" max="15370" width="12" customWidth="1"/>
    <col min="15371" max="15371" width="18.140625" customWidth="1"/>
    <col min="15372" max="15372" width="15.42578125" customWidth="1"/>
    <col min="15373" max="15373" width="10.42578125" customWidth="1"/>
    <col min="15374" max="15374" width="11.42578125" customWidth="1"/>
    <col min="15375" max="15375" width="20.140625" customWidth="1"/>
    <col min="15376" max="15376" width="18.85546875" customWidth="1"/>
    <col min="15377" max="15377" width="8.7109375" customWidth="1"/>
    <col min="15378" max="15378" width="15.42578125" customWidth="1"/>
    <col min="15379" max="15379" width="10.7109375" customWidth="1"/>
    <col min="15380" max="15380" width="15" customWidth="1"/>
    <col min="15615" max="15615" width="72.5703125" customWidth="1"/>
    <col min="15616" max="15616" width="17.7109375" customWidth="1"/>
    <col min="15617" max="15617" width="13.5703125" customWidth="1"/>
    <col min="15618" max="15618" width="16.7109375" customWidth="1"/>
    <col min="15619" max="15619" width="16.140625" customWidth="1"/>
    <col min="15620" max="15620" width="13.5703125" customWidth="1"/>
    <col min="15621" max="15621" width="15.7109375" customWidth="1"/>
    <col min="15622" max="15622" width="15.85546875" customWidth="1"/>
    <col min="15623" max="15623" width="12.140625" customWidth="1"/>
    <col min="15624" max="15624" width="15.42578125" customWidth="1"/>
    <col min="15625" max="15625" width="17.140625" customWidth="1"/>
    <col min="15626" max="15626" width="12" customWidth="1"/>
    <col min="15627" max="15627" width="18.140625" customWidth="1"/>
    <col min="15628" max="15628" width="15.42578125" customWidth="1"/>
    <col min="15629" max="15629" width="10.42578125" customWidth="1"/>
    <col min="15630" max="15630" width="11.42578125" customWidth="1"/>
    <col min="15631" max="15631" width="20.140625" customWidth="1"/>
    <col min="15632" max="15632" width="18.85546875" customWidth="1"/>
    <col min="15633" max="15633" width="8.7109375" customWidth="1"/>
    <col min="15634" max="15634" width="15.42578125" customWidth="1"/>
    <col min="15635" max="15635" width="10.7109375" customWidth="1"/>
    <col min="15636" max="15636" width="15" customWidth="1"/>
    <col min="15871" max="15871" width="72.5703125" customWidth="1"/>
    <col min="15872" max="15872" width="17.7109375" customWidth="1"/>
    <col min="15873" max="15873" width="13.5703125" customWidth="1"/>
    <col min="15874" max="15874" width="16.7109375" customWidth="1"/>
    <col min="15875" max="15875" width="16.140625" customWidth="1"/>
    <col min="15876" max="15876" width="13.5703125" customWidth="1"/>
    <col min="15877" max="15877" width="15.7109375" customWidth="1"/>
    <col min="15878" max="15878" width="15.85546875" customWidth="1"/>
    <col min="15879" max="15879" width="12.140625" customWidth="1"/>
    <col min="15880" max="15880" width="15.42578125" customWidth="1"/>
    <col min="15881" max="15881" width="17.140625" customWidth="1"/>
    <col min="15882" max="15882" width="12" customWidth="1"/>
    <col min="15883" max="15883" width="18.140625" customWidth="1"/>
    <col min="15884" max="15884" width="15.42578125" customWidth="1"/>
    <col min="15885" max="15885" width="10.42578125" customWidth="1"/>
    <col min="15886" max="15886" width="11.42578125" customWidth="1"/>
    <col min="15887" max="15887" width="20.140625" customWidth="1"/>
    <col min="15888" max="15888" width="18.85546875" customWidth="1"/>
    <col min="15889" max="15889" width="8.7109375" customWidth="1"/>
    <col min="15890" max="15890" width="15.42578125" customWidth="1"/>
    <col min="15891" max="15891" width="10.7109375" customWidth="1"/>
    <col min="15892" max="15892" width="15" customWidth="1"/>
    <col min="16127" max="16127" width="72.5703125" customWidth="1"/>
    <col min="16128" max="16128" width="17.7109375" customWidth="1"/>
    <col min="16129" max="16129" width="13.5703125" customWidth="1"/>
    <col min="16130" max="16130" width="16.7109375" customWidth="1"/>
    <col min="16131" max="16131" width="16.140625" customWidth="1"/>
    <col min="16132" max="16132" width="13.5703125" customWidth="1"/>
    <col min="16133" max="16133" width="15.7109375" customWidth="1"/>
    <col min="16134" max="16134" width="15.85546875" customWidth="1"/>
    <col min="16135" max="16135" width="12.140625" customWidth="1"/>
    <col min="16136" max="16136" width="15.42578125" customWidth="1"/>
    <col min="16137" max="16137" width="17.140625" customWidth="1"/>
    <col min="16138" max="16138" width="12" customWidth="1"/>
    <col min="16139" max="16139" width="18.140625" customWidth="1"/>
    <col min="16140" max="16140" width="15.42578125" customWidth="1"/>
    <col min="16141" max="16141" width="10.42578125" customWidth="1"/>
    <col min="16142" max="16142" width="11.42578125" customWidth="1"/>
    <col min="16143" max="16143" width="20.140625" customWidth="1"/>
    <col min="16144" max="16144" width="18.85546875" customWidth="1"/>
    <col min="16145" max="16145" width="8.7109375" customWidth="1"/>
    <col min="16146" max="16146" width="15.42578125" customWidth="1"/>
    <col min="16147" max="16147" width="10.7109375" customWidth="1"/>
    <col min="16148" max="16148" width="15" customWidth="1"/>
  </cols>
  <sheetData>
    <row r="1" spans="1:20" ht="24.95" customHeight="1" x14ac:dyDescent="0.35">
      <c r="A1" s="78"/>
      <c r="B1" s="79"/>
      <c r="C1" s="27"/>
      <c r="D1" s="204" t="s">
        <v>63</v>
      </c>
      <c r="E1" s="28"/>
      <c r="F1" s="28"/>
      <c r="G1" s="28"/>
      <c r="H1" s="28"/>
      <c r="I1" s="28"/>
      <c r="J1" s="28"/>
      <c r="K1" s="80"/>
      <c r="L1" s="80"/>
      <c r="M1" s="81"/>
      <c r="N1" s="79"/>
      <c r="O1" s="79"/>
      <c r="P1" s="79"/>
      <c r="Q1" s="79"/>
      <c r="R1" s="33"/>
      <c r="S1" s="33"/>
      <c r="T1" s="33"/>
    </row>
    <row r="2" spans="1:20" ht="24.95" customHeight="1" x14ac:dyDescent="0.3">
      <c r="A2" s="33"/>
      <c r="B2" s="82" t="s">
        <v>0</v>
      </c>
      <c r="C2" s="33"/>
      <c r="D2" s="33"/>
      <c r="E2" s="33"/>
      <c r="F2" s="33"/>
      <c r="G2" s="33"/>
      <c r="H2" s="33"/>
      <c r="I2" s="33"/>
      <c r="J2" s="33"/>
      <c r="K2" s="83"/>
      <c r="L2" s="83"/>
      <c r="M2" s="83"/>
      <c r="N2" s="20"/>
      <c r="O2" s="22"/>
      <c r="P2" s="21"/>
      <c r="Q2" s="33"/>
      <c r="R2" s="33"/>
      <c r="S2" s="33"/>
      <c r="T2" s="33"/>
    </row>
    <row r="3" spans="1:20" ht="24.95" customHeight="1" x14ac:dyDescent="0.35">
      <c r="A3" s="33"/>
      <c r="B3" s="84" t="s">
        <v>56</v>
      </c>
      <c r="C3" s="33"/>
      <c r="E3" s="31"/>
      <c r="G3" s="85"/>
      <c r="H3" s="85"/>
      <c r="I3" s="85"/>
      <c r="J3" s="85"/>
      <c r="K3" s="86"/>
      <c r="L3" s="83"/>
      <c r="M3" s="83"/>
      <c r="N3" s="33"/>
      <c r="O3" s="33"/>
      <c r="P3" s="33"/>
      <c r="Q3" s="33"/>
      <c r="R3" s="33"/>
      <c r="S3" s="33"/>
      <c r="T3" s="33"/>
    </row>
    <row r="4" spans="1:20" ht="30" customHeight="1" thickBot="1" x14ac:dyDescent="0.35">
      <c r="A4" s="34"/>
      <c r="B4" s="34"/>
      <c r="C4" s="34"/>
      <c r="D4" s="34"/>
      <c r="E4" s="34"/>
      <c r="F4" s="34"/>
      <c r="G4" s="34"/>
      <c r="H4" s="34"/>
      <c r="I4" s="34"/>
      <c r="J4" s="34"/>
      <c r="K4" s="87"/>
      <c r="L4" s="87"/>
      <c r="M4" s="87"/>
      <c r="N4" s="34"/>
      <c r="O4" s="34"/>
      <c r="P4" s="34"/>
      <c r="Q4" s="34"/>
      <c r="R4" s="34"/>
      <c r="S4" s="34"/>
    </row>
    <row r="5" spans="1:20" s="92" customFormat="1" ht="30" customHeight="1" thickTop="1" x14ac:dyDescent="0.35">
      <c r="A5" s="88" t="s">
        <v>0</v>
      </c>
      <c r="B5" s="88" t="s">
        <v>0</v>
      </c>
      <c r="C5" s="36"/>
      <c r="D5" s="36"/>
      <c r="E5" s="35"/>
      <c r="F5" s="36"/>
      <c r="G5" s="36"/>
      <c r="H5" s="35"/>
      <c r="I5" s="36"/>
      <c r="J5" s="36"/>
      <c r="K5" s="89"/>
      <c r="L5" s="90"/>
      <c r="M5" s="90"/>
      <c r="N5" s="35"/>
      <c r="O5" s="36"/>
      <c r="P5" s="36"/>
      <c r="Q5" s="35"/>
      <c r="R5" s="36"/>
      <c r="S5" s="91"/>
    </row>
    <row r="6" spans="1:20" s="92" customFormat="1" ht="30" customHeight="1" x14ac:dyDescent="0.35">
      <c r="A6" s="210"/>
      <c r="B6" s="38"/>
      <c r="C6" s="114" t="s">
        <v>38</v>
      </c>
      <c r="D6" s="69"/>
      <c r="E6" s="211" t="s">
        <v>1</v>
      </c>
      <c r="F6" s="212"/>
      <c r="G6" s="213"/>
      <c r="H6" s="39" t="s">
        <v>0</v>
      </c>
      <c r="I6" s="114" t="s">
        <v>2</v>
      </c>
      <c r="J6" s="69"/>
      <c r="K6" s="39" t="s">
        <v>0</v>
      </c>
      <c r="L6" s="114" t="s">
        <v>52</v>
      </c>
      <c r="M6" s="69"/>
      <c r="N6" s="39" t="s">
        <v>0</v>
      </c>
      <c r="O6" s="114" t="s">
        <v>3</v>
      </c>
      <c r="P6" s="69"/>
      <c r="Q6" s="211" t="s">
        <v>4</v>
      </c>
      <c r="R6" s="213"/>
      <c r="S6" s="91"/>
    </row>
    <row r="7" spans="1:20" s="92" customFormat="1" ht="30" customHeight="1" x14ac:dyDescent="0.35">
      <c r="A7" s="94" t="s">
        <v>43</v>
      </c>
      <c r="B7" s="40"/>
      <c r="C7" s="41"/>
      <c r="D7" s="41"/>
      <c r="E7" s="40"/>
      <c r="F7" s="41"/>
      <c r="G7" s="41"/>
      <c r="H7" s="40"/>
      <c r="I7" s="41"/>
      <c r="J7" s="41"/>
      <c r="K7" s="95"/>
      <c r="L7" s="96"/>
      <c r="M7" s="96"/>
      <c r="N7" s="40"/>
      <c r="O7" s="41"/>
      <c r="P7" s="41"/>
      <c r="Q7" s="40"/>
      <c r="R7" s="41"/>
      <c r="S7" s="97"/>
    </row>
    <row r="8" spans="1:20" s="92" customFormat="1" ht="30" customHeight="1" x14ac:dyDescent="0.35">
      <c r="A8" s="203"/>
      <c r="B8" s="98" t="s">
        <v>5</v>
      </c>
      <c r="C8" s="44" t="s">
        <v>6</v>
      </c>
      <c r="D8" s="44" t="s">
        <v>7</v>
      </c>
      <c r="E8" s="43" t="s">
        <v>5</v>
      </c>
      <c r="F8" s="98" t="s">
        <v>6</v>
      </c>
      <c r="G8" s="44" t="s">
        <v>7</v>
      </c>
      <c r="H8" s="43" t="s">
        <v>5</v>
      </c>
      <c r="I8" s="98" t="s">
        <v>6</v>
      </c>
      <c r="J8" s="44" t="s">
        <v>7</v>
      </c>
      <c r="K8" s="43" t="s">
        <v>5</v>
      </c>
      <c r="L8" s="98" t="s">
        <v>6</v>
      </c>
      <c r="M8" s="44" t="s">
        <v>7</v>
      </c>
      <c r="N8" s="43" t="s">
        <v>5</v>
      </c>
      <c r="O8" s="98" t="s">
        <v>6</v>
      </c>
      <c r="P8" s="44" t="s">
        <v>7</v>
      </c>
      <c r="Q8" s="196" t="s">
        <v>5</v>
      </c>
      <c r="R8" s="197" t="s">
        <v>7</v>
      </c>
      <c r="S8" s="91"/>
    </row>
    <row r="9" spans="1:20" s="92" customFormat="1" ht="30" customHeight="1" x14ac:dyDescent="0.35">
      <c r="A9" s="210" t="s">
        <v>0</v>
      </c>
      <c r="B9" s="198" t="s">
        <v>8</v>
      </c>
      <c r="C9" s="199" t="s">
        <v>9</v>
      </c>
      <c r="D9" s="201" t="s">
        <v>10</v>
      </c>
      <c r="E9" s="198" t="s">
        <v>8</v>
      </c>
      <c r="F9" s="199" t="s">
        <v>9</v>
      </c>
      <c r="G9" s="201" t="s">
        <v>10</v>
      </c>
      <c r="H9" s="198" t="s">
        <v>8</v>
      </c>
      <c r="I9" s="199" t="s">
        <v>9</v>
      </c>
      <c r="J9" s="201" t="s">
        <v>10</v>
      </c>
      <c r="K9" s="198" t="s">
        <v>8</v>
      </c>
      <c r="L9" s="199" t="s">
        <v>9</v>
      </c>
      <c r="M9" s="201" t="s">
        <v>10</v>
      </c>
      <c r="N9" s="198" t="s">
        <v>8</v>
      </c>
      <c r="O9" s="199" t="s">
        <v>9</v>
      </c>
      <c r="P9" s="201" t="s">
        <v>10</v>
      </c>
      <c r="Q9" s="202" t="s">
        <v>8</v>
      </c>
      <c r="R9" s="200" t="s">
        <v>10</v>
      </c>
      <c r="S9" s="91"/>
    </row>
    <row r="10" spans="1:20" s="92" customFormat="1" ht="30" customHeight="1" x14ac:dyDescent="0.35">
      <c r="A10" s="94" t="s">
        <v>44</v>
      </c>
      <c r="B10" s="48"/>
      <c r="C10" s="50"/>
      <c r="D10" s="51"/>
      <c r="E10" s="48">
        <v>126</v>
      </c>
      <c r="F10" s="49">
        <v>262</v>
      </c>
      <c r="G10" s="51">
        <v>33.012</v>
      </c>
      <c r="H10" s="48">
        <v>488.40000000000003</v>
      </c>
      <c r="I10" s="47">
        <v>2000</v>
      </c>
      <c r="J10" s="49">
        <v>976.80000000000007</v>
      </c>
      <c r="K10" s="48"/>
      <c r="L10" s="50"/>
      <c r="M10" s="51"/>
      <c r="N10" s="48"/>
      <c r="O10" s="50"/>
      <c r="P10" s="51"/>
      <c r="Q10" s="38">
        <v>614.40000000000009</v>
      </c>
      <c r="R10" s="51">
        <v>1009.8120000000001</v>
      </c>
      <c r="S10" s="91"/>
    </row>
    <row r="11" spans="1:20" s="92" customFormat="1" ht="30" customHeight="1" x14ac:dyDescent="0.35">
      <c r="A11" s="94" t="s">
        <v>11</v>
      </c>
      <c r="B11" s="48">
        <v>113034.74472294006</v>
      </c>
      <c r="C11" s="49">
        <v>874.15329393130912</v>
      </c>
      <c r="D11" s="51">
        <v>98809.694428242714</v>
      </c>
      <c r="E11" s="48">
        <v>15991.903264990913</v>
      </c>
      <c r="F11" s="49">
        <v>805.0862563295168</v>
      </c>
      <c r="G11" s="51">
        <v>12874.861531195311</v>
      </c>
      <c r="H11" s="48">
        <v>929.22136674213971</v>
      </c>
      <c r="I11" s="49">
        <v>805.47619597143319</v>
      </c>
      <c r="J11" s="51">
        <v>748.46569169883469</v>
      </c>
      <c r="K11" s="48"/>
      <c r="L11" s="49"/>
      <c r="M11" s="51"/>
      <c r="N11" s="48"/>
      <c r="O11" s="49"/>
      <c r="P11" s="51"/>
      <c r="Q11" s="38">
        <v>129955.86935467311</v>
      </c>
      <c r="R11" s="51">
        <v>112433.02165113686</v>
      </c>
      <c r="S11" s="91"/>
    </row>
    <row r="12" spans="1:20" s="92" customFormat="1" ht="30" customHeight="1" x14ac:dyDescent="0.35">
      <c r="A12" s="94" t="s">
        <v>12</v>
      </c>
      <c r="B12" s="48">
        <v>178312.18397982462</v>
      </c>
      <c r="C12" s="49">
        <v>1323.8287483052407</v>
      </c>
      <c r="D12" s="49">
        <v>236054.79532558503</v>
      </c>
      <c r="E12" s="48">
        <v>16136.867610385772</v>
      </c>
      <c r="F12" s="49">
        <v>878.04381865751009</v>
      </c>
      <c r="G12" s="49">
        <v>14168.876857793814</v>
      </c>
      <c r="H12" s="48">
        <v>29425.730235139064</v>
      </c>
      <c r="I12" s="49">
        <v>2264.8410675858013</v>
      </c>
      <c r="J12" s="49">
        <v>66644.602280244144</v>
      </c>
      <c r="K12" s="48">
        <v>7198</v>
      </c>
      <c r="L12" s="49">
        <v>2346.1239233120314</v>
      </c>
      <c r="M12" s="49">
        <v>16887.400000000001</v>
      </c>
      <c r="N12" s="48"/>
      <c r="O12" s="49"/>
      <c r="P12" s="49"/>
      <c r="Q12" s="38">
        <v>231072.78182534946</v>
      </c>
      <c r="R12" s="51">
        <v>333755.67446362297</v>
      </c>
      <c r="S12" s="91"/>
    </row>
    <row r="13" spans="1:20" s="92" customFormat="1" ht="30" customHeight="1" x14ac:dyDescent="0.35">
      <c r="A13" s="94" t="s">
        <v>13</v>
      </c>
      <c r="B13" s="52">
        <v>144100.64193786567</v>
      </c>
      <c r="C13" s="53">
        <v>1597.4746590358036</v>
      </c>
      <c r="D13" s="53">
        <v>230197.12384653237</v>
      </c>
      <c r="E13" s="52">
        <v>19341.299969488271</v>
      </c>
      <c r="F13" s="53">
        <v>1412.0602297886389</v>
      </c>
      <c r="G13" s="53">
        <v>27311.080479326603</v>
      </c>
      <c r="H13" s="52">
        <v>41742.91948886482</v>
      </c>
      <c r="I13" s="53">
        <v>2686.6379808130864</v>
      </c>
      <c r="J13" s="53">
        <v>112148.11292880702</v>
      </c>
      <c r="K13" s="52">
        <v>2145</v>
      </c>
      <c r="L13" s="53">
        <v>1895.1048951048951</v>
      </c>
      <c r="M13" s="53">
        <v>4065</v>
      </c>
      <c r="N13" s="52"/>
      <c r="O13" s="53"/>
      <c r="P13" s="53"/>
      <c r="Q13" s="38">
        <v>207329.86139621877</v>
      </c>
      <c r="R13" s="51">
        <v>373721.31725466601</v>
      </c>
      <c r="S13" s="91"/>
    </row>
    <row r="14" spans="1:20" s="92" customFormat="1" ht="30" customHeight="1" x14ac:dyDescent="0.35">
      <c r="A14" s="94" t="s">
        <v>14</v>
      </c>
      <c r="B14" s="48">
        <v>44149.171168805173</v>
      </c>
      <c r="C14" s="49">
        <v>1561.5400651831108</v>
      </c>
      <c r="D14" s="49">
        <v>68940.699624716348</v>
      </c>
      <c r="E14" s="48">
        <v>43027.138539624139</v>
      </c>
      <c r="F14" s="49">
        <v>1462.7229663377834</v>
      </c>
      <c r="G14" s="49">
        <v>62936.783717705781</v>
      </c>
      <c r="H14" s="48">
        <v>47795</v>
      </c>
      <c r="I14" s="49">
        <v>3409.8326184747361</v>
      </c>
      <c r="J14" s="49">
        <v>162972.95000000001</v>
      </c>
      <c r="K14" s="48">
        <v>121120.11</v>
      </c>
      <c r="L14" s="49">
        <v>3660.8752832209279</v>
      </c>
      <c r="M14" s="49">
        <v>443405.61699999997</v>
      </c>
      <c r="N14" s="48">
        <v>322.95</v>
      </c>
      <c r="O14" s="49">
        <v>697.44542498838825</v>
      </c>
      <c r="P14" s="49">
        <v>225.23999999999998</v>
      </c>
      <c r="Q14" s="38">
        <v>256414.36970842932</v>
      </c>
      <c r="R14" s="51">
        <v>738481.29034242209</v>
      </c>
      <c r="S14" s="91"/>
    </row>
    <row r="15" spans="1:20" s="92" customFormat="1" ht="30" customHeight="1" x14ac:dyDescent="0.35">
      <c r="A15" s="94" t="s">
        <v>15</v>
      </c>
      <c r="B15" s="48">
        <v>99676.125600115527</v>
      </c>
      <c r="C15" s="49">
        <v>678.63544203762672</v>
      </c>
      <c r="D15" s="51">
        <v>67643.751557232405</v>
      </c>
      <c r="E15" s="48">
        <v>2454.5501584166595</v>
      </c>
      <c r="F15" s="49">
        <v>466.81209723155814</v>
      </c>
      <c r="G15" s="51">
        <v>1145.8137072105342</v>
      </c>
      <c r="H15" s="48">
        <v>5666.9751412078285</v>
      </c>
      <c r="I15" s="49">
        <v>1500.0000000000002</v>
      </c>
      <c r="J15" s="51">
        <v>8500.4627118117442</v>
      </c>
      <c r="K15" s="48"/>
      <c r="L15" s="49"/>
      <c r="M15" s="51"/>
      <c r="N15" s="48"/>
      <c r="O15" s="49"/>
      <c r="P15" s="51"/>
      <c r="Q15" s="38">
        <v>107797.65089974001</v>
      </c>
      <c r="R15" s="51">
        <v>77290.027976254685</v>
      </c>
      <c r="S15" s="91"/>
      <c r="T15" s="103"/>
    </row>
    <row r="16" spans="1:20" s="92" customFormat="1" ht="30" customHeight="1" x14ac:dyDescent="0.35">
      <c r="A16" s="94" t="s">
        <v>16</v>
      </c>
      <c r="B16" s="48">
        <v>4340.2208456104563</v>
      </c>
      <c r="C16" s="54">
        <v>258.601910822435</v>
      </c>
      <c r="D16" s="50">
        <v>1122.3894040662287</v>
      </c>
      <c r="E16" s="48">
        <v>6490.1268566872404</v>
      </c>
      <c r="F16" s="54">
        <v>662.14233830630053</v>
      </c>
      <c r="G16" s="50">
        <v>4297.3877727914096</v>
      </c>
      <c r="H16" s="48">
        <v>3487.9625196635611</v>
      </c>
      <c r="I16" s="54">
        <v>1938.6251358229281</v>
      </c>
      <c r="J16" s="50">
        <v>6761.8518134280539</v>
      </c>
      <c r="K16" s="48">
        <v>64056</v>
      </c>
      <c r="L16" s="49">
        <v>5422.1181466217058</v>
      </c>
      <c r="M16" s="49">
        <v>347319.2</v>
      </c>
      <c r="N16" s="48"/>
      <c r="O16" s="54"/>
      <c r="P16" s="50"/>
      <c r="Q16" s="38">
        <v>78374.310221961263</v>
      </c>
      <c r="R16" s="51">
        <v>359500.82899028575</v>
      </c>
      <c r="S16" s="91"/>
    </row>
    <row r="17" spans="1:21" s="92" customFormat="1" ht="30" customHeight="1" x14ac:dyDescent="0.35">
      <c r="A17" s="94" t="s">
        <v>46</v>
      </c>
      <c r="B17" s="48">
        <v>45130.409773249587</v>
      </c>
      <c r="C17" s="54">
        <v>1484.3075128322812</v>
      </c>
      <c r="D17" s="50">
        <v>66987.406283633769</v>
      </c>
      <c r="E17" s="48">
        <v>41702.158387177806</v>
      </c>
      <c r="F17" s="54">
        <v>1470.9047519746205</v>
      </c>
      <c r="G17" s="50">
        <v>61339.90293929811</v>
      </c>
      <c r="H17" s="48">
        <v>37183.84771172289</v>
      </c>
      <c r="I17" s="54">
        <v>3353.7286303585361</v>
      </c>
      <c r="J17" s="50">
        <v>124704.53465769679</v>
      </c>
      <c r="K17" s="48">
        <v>14446</v>
      </c>
      <c r="L17" s="54">
        <v>2541.2224837325211</v>
      </c>
      <c r="M17" s="50">
        <v>36710.5</v>
      </c>
      <c r="N17" s="48">
        <v>250</v>
      </c>
      <c r="O17" s="54">
        <v>850</v>
      </c>
      <c r="P17" s="50">
        <v>212.5</v>
      </c>
      <c r="Q17" s="38">
        <v>138712.41587215028</v>
      </c>
      <c r="R17" s="51">
        <v>289954.84388062864</v>
      </c>
      <c r="S17" s="91"/>
    </row>
    <row r="18" spans="1:21" s="92" customFormat="1" ht="30" customHeight="1" x14ac:dyDescent="0.35">
      <c r="A18" s="94" t="s">
        <v>39</v>
      </c>
      <c r="B18" s="48">
        <v>109726.37840984069</v>
      </c>
      <c r="C18" s="54">
        <v>812.51064611675679</v>
      </c>
      <c r="D18" s="50">
        <v>89153.850617831413</v>
      </c>
      <c r="E18" s="48">
        <v>12914.154769773897</v>
      </c>
      <c r="F18" s="54">
        <v>736.84927617832432</v>
      </c>
      <c r="G18" s="50">
        <v>9515.7855945627507</v>
      </c>
      <c r="H18" s="48">
        <v>2966.3145114871186</v>
      </c>
      <c r="I18" s="54">
        <v>585.03251330127216</v>
      </c>
      <c r="J18" s="50">
        <v>1735.3904338973443</v>
      </c>
      <c r="K18" s="48"/>
      <c r="L18" s="54"/>
      <c r="M18" s="50"/>
      <c r="N18" s="48"/>
      <c r="O18" s="54"/>
      <c r="P18" s="50"/>
      <c r="Q18" s="38">
        <v>125606.84769110171</v>
      </c>
      <c r="R18" s="51">
        <v>100405.0266462915</v>
      </c>
      <c r="S18" s="91"/>
      <c r="T18" s="99"/>
      <c r="U18" s="99"/>
    </row>
    <row r="19" spans="1:21" s="92" customFormat="1" ht="30" customHeight="1" x14ac:dyDescent="0.35">
      <c r="A19" s="94" t="s">
        <v>47</v>
      </c>
      <c r="B19" s="48">
        <v>5744.7746893442363</v>
      </c>
      <c r="C19" s="54">
        <v>1059.3152996139288</v>
      </c>
      <c r="D19" s="50">
        <v>6085.5277212572046</v>
      </c>
      <c r="E19" s="48">
        <v>603.10937296216343</v>
      </c>
      <c r="F19" s="54">
        <v>829.13365833100806</v>
      </c>
      <c r="G19" s="50">
        <v>500.05828077783895</v>
      </c>
      <c r="H19" s="48">
        <v>2579.6878164049117</v>
      </c>
      <c r="I19" s="54">
        <v>2751.8509304467498</v>
      </c>
      <c r="J19" s="50">
        <v>7098.9163178360004</v>
      </c>
      <c r="K19" s="48">
        <v>71743</v>
      </c>
      <c r="L19" s="54">
        <v>3495.2483169089669</v>
      </c>
      <c r="M19" s="50">
        <v>250759.6</v>
      </c>
      <c r="N19" s="48"/>
      <c r="O19" s="54"/>
      <c r="P19" s="50"/>
      <c r="Q19" s="38">
        <v>80670.571878711315</v>
      </c>
      <c r="R19" s="51">
        <v>264444.10231987102</v>
      </c>
      <c r="S19" s="91"/>
      <c r="T19" s="99"/>
      <c r="U19" s="99"/>
    </row>
    <row r="20" spans="1:21" s="92" customFormat="1" ht="30" customHeight="1" x14ac:dyDescent="0.35">
      <c r="A20" s="94" t="s">
        <v>17</v>
      </c>
      <c r="B20" s="48">
        <v>25974.131220652605</v>
      </c>
      <c r="C20" s="54">
        <v>485.45005901533636</v>
      </c>
      <c r="D20" s="50">
        <v>12609.143533937899</v>
      </c>
      <c r="E20" s="48">
        <v>16423.930586632901</v>
      </c>
      <c r="F20" s="54">
        <v>799.09115894324691</v>
      </c>
      <c r="G20" s="50">
        <v>13124.217726875926</v>
      </c>
      <c r="H20" s="48">
        <v>2141.3176848571429</v>
      </c>
      <c r="I20" s="54">
        <v>1803.0927453418383</v>
      </c>
      <c r="J20" s="50">
        <v>3860.9943830380953</v>
      </c>
      <c r="K20" s="48">
        <v>7138</v>
      </c>
      <c r="L20" s="54">
        <v>6140.2187250644583</v>
      </c>
      <c r="M20" s="50">
        <v>43828.881259510104</v>
      </c>
      <c r="N20" s="48"/>
      <c r="O20" s="54"/>
      <c r="P20" s="50"/>
      <c r="Q20" s="38">
        <v>51677.379492142645</v>
      </c>
      <c r="R20" s="51">
        <v>73423.23690336202</v>
      </c>
      <c r="S20" s="91"/>
      <c r="T20" s="99"/>
      <c r="U20" s="99"/>
    </row>
    <row r="21" spans="1:21" ht="30" customHeight="1" x14ac:dyDescent="0.35">
      <c r="A21" s="39" t="s">
        <v>37</v>
      </c>
      <c r="B21" s="48">
        <v>179226.76827734706</v>
      </c>
      <c r="C21" s="54">
        <v>1650.1897780575669</v>
      </c>
      <c r="D21" s="50">
        <v>295758.18096557033</v>
      </c>
      <c r="E21" s="48">
        <v>68322.918613154965</v>
      </c>
      <c r="F21" s="54">
        <v>1398.5405845553439</v>
      </c>
      <c r="G21" s="50">
        <v>95552.374535768919</v>
      </c>
      <c r="H21" s="48">
        <v>41530.76292162</v>
      </c>
      <c r="I21" s="54">
        <v>3560.5530522421054</v>
      </c>
      <c r="J21" s="50">
        <v>147872.48468251736</v>
      </c>
      <c r="K21" s="48">
        <v>590</v>
      </c>
      <c r="L21" s="54">
        <v>1713.2203389830506</v>
      </c>
      <c r="M21" s="50">
        <v>1010.8</v>
      </c>
      <c r="N21" s="48"/>
      <c r="O21" s="54"/>
      <c r="P21" s="50"/>
      <c r="Q21" s="38">
        <v>289670.44981212204</v>
      </c>
      <c r="R21" s="51">
        <v>540193.84018385666</v>
      </c>
      <c r="S21" s="48"/>
      <c r="U21" s="100"/>
    </row>
    <row r="22" spans="1:21" ht="30" customHeight="1" x14ac:dyDescent="0.35">
      <c r="A22" s="39" t="s">
        <v>18</v>
      </c>
      <c r="B22" s="48"/>
      <c r="C22" s="49"/>
      <c r="D22" s="49"/>
      <c r="E22" s="48">
        <v>4574.2563148079071</v>
      </c>
      <c r="F22" s="54">
        <v>2610.5686648017117</v>
      </c>
      <c r="G22" s="50">
        <v>11941.410200208877</v>
      </c>
      <c r="H22" s="48">
        <v>17802.897433225447</v>
      </c>
      <c r="I22" s="54">
        <v>3237.5895792222605</v>
      </c>
      <c r="J22" s="50">
        <v>57638.475209773438</v>
      </c>
      <c r="K22" s="48">
        <v>6777</v>
      </c>
      <c r="L22" s="54">
        <v>3952.01844473956</v>
      </c>
      <c r="M22" s="50">
        <v>26782.828999999998</v>
      </c>
      <c r="N22" s="48">
        <v>2598.3000000000002</v>
      </c>
      <c r="O22" s="54">
        <v>829.01512527421778</v>
      </c>
      <c r="P22" s="50">
        <v>2154.0300000000002</v>
      </c>
      <c r="Q22" s="38">
        <v>31752.453748033353</v>
      </c>
      <c r="R22" s="51">
        <v>98516.744409982304</v>
      </c>
      <c r="S22" s="48"/>
      <c r="T22" s="68"/>
    </row>
    <row r="23" spans="1:21" ht="30" customHeight="1" x14ac:dyDescent="0.35">
      <c r="A23" s="39" t="s">
        <v>48</v>
      </c>
      <c r="B23" s="48">
        <v>56493.263950145469</v>
      </c>
      <c r="C23" s="54">
        <v>1546.1467353399978</v>
      </c>
      <c r="D23" s="49">
        <v>87346.875625218207</v>
      </c>
      <c r="E23" s="48">
        <v>28304.132738212415</v>
      </c>
      <c r="F23" s="54">
        <v>1760.7188859308544</v>
      </c>
      <c r="G23" s="49">
        <v>49835.621062064391</v>
      </c>
      <c r="H23" s="48">
        <v>44408</v>
      </c>
      <c r="I23" s="54">
        <v>3453.6299765807962</v>
      </c>
      <c r="J23" s="49">
        <v>153368.79999999999</v>
      </c>
      <c r="K23" s="48">
        <v>102980.1005517578</v>
      </c>
      <c r="L23" s="54">
        <v>3444.2956444283495</v>
      </c>
      <c r="M23" s="49">
        <v>354693.91179321287</v>
      </c>
      <c r="N23" s="48">
        <v>4800</v>
      </c>
      <c r="O23" s="54">
        <v>1414.5833333333333</v>
      </c>
      <c r="P23" s="49">
        <v>6790</v>
      </c>
      <c r="Q23" s="38">
        <v>236985.49724011566</v>
      </c>
      <c r="R23" s="51">
        <v>652035.20848049549</v>
      </c>
      <c r="S23" s="48"/>
      <c r="T23" s="68"/>
    </row>
    <row r="24" spans="1:21" s="92" customFormat="1" ht="30" customHeight="1" x14ac:dyDescent="0.35">
      <c r="A24" s="94"/>
      <c r="B24" s="38"/>
      <c r="C24" s="69"/>
      <c r="D24" s="69"/>
      <c r="E24" s="38"/>
      <c r="F24" s="69"/>
      <c r="G24" s="69"/>
      <c r="H24" s="38"/>
      <c r="I24" s="69"/>
      <c r="J24" s="69"/>
      <c r="K24" s="38"/>
      <c r="L24" s="69"/>
      <c r="M24" s="69"/>
      <c r="N24" s="38"/>
      <c r="O24" s="69"/>
      <c r="P24" s="69"/>
      <c r="Q24" s="38"/>
      <c r="R24" s="102"/>
      <c r="S24" s="91"/>
    </row>
    <row r="25" spans="1:21" s="92" customFormat="1" ht="30" customHeight="1" x14ac:dyDescent="0.35">
      <c r="A25" s="104"/>
      <c r="B25" s="56"/>
      <c r="C25" s="57"/>
      <c r="D25" s="57"/>
      <c r="E25" s="56"/>
      <c r="F25" s="57"/>
      <c r="G25" s="57"/>
      <c r="H25" s="56"/>
      <c r="I25" s="57"/>
      <c r="J25" s="57"/>
      <c r="K25" s="56"/>
      <c r="L25" s="57"/>
      <c r="M25" s="57"/>
      <c r="N25" s="56"/>
      <c r="O25" s="57"/>
      <c r="P25" s="57"/>
      <c r="Q25" s="56"/>
      <c r="R25" s="57"/>
      <c r="S25" s="91"/>
      <c r="T25" s="99"/>
    </row>
    <row r="26" spans="1:21" s="92" customFormat="1" ht="30" customHeight="1" x14ac:dyDescent="0.35">
      <c r="A26" s="39" t="s">
        <v>61</v>
      </c>
      <c r="B26" s="38">
        <v>1005908.8145757411</v>
      </c>
      <c r="C26" s="51">
        <v>1253.3038985900023</v>
      </c>
      <c r="D26" s="51">
        <v>1260709.438933824</v>
      </c>
      <c r="E26" s="38">
        <v>276412.54718231503</v>
      </c>
      <c r="F26" s="51">
        <v>1318.9603370830846</v>
      </c>
      <c r="G26" s="51">
        <v>364577.18640558026</v>
      </c>
      <c r="H26" s="38">
        <v>278149.03683093493</v>
      </c>
      <c r="I26" s="51">
        <v>3074.009713829987</v>
      </c>
      <c r="J26" s="51">
        <v>855032.8411107487</v>
      </c>
      <c r="K26" s="38">
        <v>398193.21055175777</v>
      </c>
      <c r="L26" s="51">
        <v>3830.9637096497927</v>
      </c>
      <c r="M26" s="51">
        <v>1525463.7390527229</v>
      </c>
      <c r="N26" s="38">
        <v>7971.25</v>
      </c>
      <c r="O26" s="51">
        <v>1176.9509173592598</v>
      </c>
      <c r="P26" s="51">
        <v>9381.77</v>
      </c>
      <c r="Q26" s="38">
        <v>1966634.8591407489</v>
      </c>
      <c r="R26" s="51">
        <v>4015164.9755028761</v>
      </c>
      <c r="S26" s="105"/>
      <c r="T26" s="99"/>
    </row>
    <row r="27" spans="1:21" s="92" customFormat="1" ht="30" customHeight="1" x14ac:dyDescent="0.35">
      <c r="A27" s="58"/>
      <c r="B27" s="58"/>
      <c r="C27" s="59"/>
      <c r="D27" s="59"/>
      <c r="E27" s="58"/>
      <c r="F27" s="59"/>
      <c r="G27" s="59"/>
      <c r="H27" s="58"/>
      <c r="I27" s="59"/>
      <c r="J27" s="59"/>
      <c r="K27" s="58"/>
      <c r="L27" s="59"/>
      <c r="M27" s="59"/>
      <c r="N27" s="58"/>
      <c r="O27" s="59"/>
      <c r="P27" s="59"/>
      <c r="Q27" s="58"/>
      <c r="R27" s="60"/>
      <c r="S27" s="69"/>
    </row>
    <row r="28" spans="1:21" s="92" customFormat="1" ht="30" customHeight="1" x14ac:dyDescent="0.35">
      <c r="A28" s="104"/>
      <c r="B28" s="56"/>
      <c r="C28" s="57"/>
      <c r="D28" s="57"/>
      <c r="E28" s="56"/>
      <c r="F28" s="57"/>
      <c r="G28" s="57"/>
      <c r="H28" s="56"/>
      <c r="I28" s="57"/>
      <c r="J28" s="57"/>
      <c r="K28" s="56"/>
      <c r="L28" s="57"/>
      <c r="M28" s="57"/>
      <c r="N28" s="56"/>
      <c r="O28" s="57"/>
      <c r="P28" s="57"/>
      <c r="Q28" s="56"/>
      <c r="R28" s="57"/>
      <c r="S28" s="101"/>
    </row>
    <row r="29" spans="1:21" s="92" customFormat="1" ht="23.25" x14ac:dyDescent="0.35">
      <c r="A29" s="39" t="s">
        <v>60</v>
      </c>
      <c r="B29" s="38">
        <v>969692.91300369147</v>
      </c>
      <c r="C29" s="51">
        <v>1131.3202026935387</v>
      </c>
      <c r="D29" s="51">
        <v>1097033.1828898243</v>
      </c>
      <c r="E29" s="38">
        <v>270167.51702986518</v>
      </c>
      <c r="F29" s="51">
        <v>1344.2164564270138</v>
      </c>
      <c r="G29" s="51">
        <v>363163.6223835703</v>
      </c>
      <c r="H29" s="38">
        <v>277242.62273939763</v>
      </c>
      <c r="I29" s="51">
        <v>2841.3739164243743</v>
      </c>
      <c r="J29" s="51">
        <v>787749.95677280764</v>
      </c>
      <c r="K29" s="38">
        <v>372412.62475716369</v>
      </c>
      <c r="L29" s="51">
        <v>3783.75998099242</v>
      </c>
      <c r="M29" s="51">
        <v>1409119.985972503</v>
      </c>
      <c r="N29" s="38">
        <v>6893.7024545061731</v>
      </c>
      <c r="O29" s="51">
        <v>960.80042578930681</v>
      </c>
      <c r="P29" s="51">
        <v>6623.4722535543206</v>
      </c>
      <c r="Q29" s="38">
        <v>1896409.3799846242</v>
      </c>
      <c r="R29" s="51">
        <v>3663690.2202722598</v>
      </c>
      <c r="S29" s="91"/>
    </row>
    <row r="30" spans="1:21" s="92" customFormat="1" ht="30" customHeight="1" x14ac:dyDescent="0.35">
      <c r="A30" s="58"/>
      <c r="B30" s="58"/>
      <c r="C30" s="59"/>
      <c r="D30" s="59"/>
      <c r="E30" s="58"/>
      <c r="F30" s="59"/>
      <c r="G30" s="59"/>
      <c r="H30" s="58"/>
      <c r="I30" s="59"/>
      <c r="J30" s="59"/>
      <c r="K30" s="58"/>
      <c r="L30" s="59"/>
      <c r="M30" s="59"/>
      <c r="N30" s="58"/>
      <c r="O30" s="59"/>
      <c r="P30" s="59"/>
      <c r="Q30" s="58"/>
      <c r="R30" s="60"/>
      <c r="S30" s="91"/>
    </row>
    <row r="31" spans="1:21" s="92" customFormat="1" ht="30" customHeight="1" x14ac:dyDescent="0.35">
      <c r="A31" s="61"/>
      <c r="B31" s="56"/>
      <c r="C31" s="57"/>
      <c r="D31" s="57"/>
      <c r="E31" s="56"/>
      <c r="F31" s="57"/>
      <c r="G31" s="57"/>
      <c r="H31" s="56"/>
      <c r="I31" s="57"/>
      <c r="J31" s="57"/>
      <c r="K31" s="56"/>
      <c r="L31" s="57"/>
      <c r="M31" s="57"/>
      <c r="N31" s="56"/>
      <c r="O31" s="57"/>
      <c r="P31" s="57"/>
      <c r="Q31" s="56"/>
      <c r="R31" s="66"/>
      <c r="S31" s="105"/>
    </row>
    <row r="32" spans="1:21" s="92" customFormat="1" ht="30" customHeight="1" x14ac:dyDescent="0.35">
      <c r="A32" s="39" t="s">
        <v>49</v>
      </c>
      <c r="B32" s="62">
        <v>3.7347804739407979</v>
      </c>
      <c r="C32" s="63">
        <v>10.782420008591284</v>
      </c>
      <c r="D32" s="63">
        <v>14.919900199631225</v>
      </c>
      <c r="E32" s="62">
        <v>2.3115399738302012</v>
      </c>
      <c r="F32" s="63">
        <v>-1.8788729466280347</v>
      </c>
      <c r="G32" s="63">
        <v>0.38923612798337087</v>
      </c>
      <c r="H32" s="62">
        <v>0.32693893982863875</v>
      </c>
      <c r="I32" s="63">
        <v>8.1874404512857968</v>
      </c>
      <c r="J32" s="63">
        <v>8.5411473221249459</v>
      </c>
      <c r="K32" s="62">
        <v>6.9225864218230075</v>
      </c>
      <c r="L32" s="63">
        <v>1.2475349624315213</v>
      </c>
      <c r="M32" s="63">
        <v>8.2564830701713046</v>
      </c>
      <c r="N32" s="62">
        <v>15.630897222572635</v>
      </c>
      <c r="O32" s="63">
        <v>22.49691879480417</v>
      </c>
      <c r="P32" s="63">
        <v>41.644286272438272</v>
      </c>
      <c r="Q32" s="62">
        <v>3.7030759232320403</v>
      </c>
      <c r="R32" s="71">
        <v>9.5934627137907196</v>
      </c>
      <c r="S32" s="63"/>
    </row>
    <row r="33" spans="1:19" s="92" customFormat="1" ht="30" customHeight="1" x14ac:dyDescent="0.35">
      <c r="A33" s="64"/>
      <c r="B33" s="64"/>
      <c r="C33" s="65"/>
      <c r="D33" s="65"/>
      <c r="E33" s="64"/>
      <c r="F33" s="65"/>
      <c r="G33" s="65"/>
      <c r="H33" s="64"/>
      <c r="I33" s="65"/>
      <c r="J33" s="65"/>
      <c r="K33" s="64"/>
      <c r="L33" s="65"/>
      <c r="M33" s="65"/>
      <c r="N33" s="64"/>
      <c r="O33" s="65"/>
      <c r="P33" s="65"/>
      <c r="Q33" s="64"/>
      <c r="R33" s="106"/>
      <c r="S33" s="105"/>
    </row>
    <row r="34" spans="1:19" ht="30" customHeight="1" x14ac:dyDescent="0.35">
      <c r="A34" s="56"/>
      <c r="B34" s="56"/>
      <c r="C34" s="57"/>
      <c r="D34" s="57"/>
      <c r="E34" s="56"/>
      <c r="F34" s="57"/>
      <c r="G34" s="57"/>
      <c r="H34" s="56"/>
      <c r="I34" s="57"/>
      <c r="J34" s="57"/>
      <c r="K34" s="56"/>
      <c r="L34" s="57"/>
      <c r="M34" s="57"/>
      <c r="N34" s="56"/>
      <c r="O34" s="57"/>
      <c r="P34" s="57"/>
      <c r="Q34" s="56"/>
      <c r="R34" s="66"/>
      <c r="S34" s="107"/>
    </row>
    <row r="35" spans="1:19" s="186" customFormat="1" ht="30" customHeight="1" x14ac:dyDescent="0.35">
      <c r="A35" s="93" t="s">
        <v>53</v>
      </c>
      <c r="B35" s="184">
        <v>954301.25459218887</v>
      </c>
      <c r="C35" s="188">
        <v>1041.2069669714338</v>
      </c>
      <c r="D35" s="190">
        <v>997273.22074219608</v>
      </c>
      <c r="E35" s="184">
        <v>260059.25645399527</v>
      </c>
      <c r="F35" s="188">
        <v>1270.5274283317369</v>
      </c>
      <c r="G35" s="190">
        <v>331718.44761679828</v>
      </c>
      <c r="H35" s="184">
        <v>271806.22396688291</v>
      </c>
      <c r="I35" s="190">
        <v>2425.7574273153941</v>
      </c>
      <c r="J35" s="190">
        <v>664126</v>
      </c>
      <c r="K35" s="184">
        <v>363589.03343845234</v>
      </c>
      <c r="L35" s="190">
        <v>3524.3508423070575</v>
      </c>
      <c r="M35" s="190">
        <v>1279528.3002976768</v>
      </c>
      <c r="N35" s="184">
        <v>6219.9492047711192</v>
      </c>
      <c r="O35" s="188">
        <v>928.17949453505867</v>
      </c>
      <c r="P35" s="190">
        <v>5826.9743989588396</v>
      </c>
      <c r="Q35" s="184">
        <v>1855975.7176562906</v>
      </c>
      <c r="R35" s="191">
        <v>3278472.9430556302</v>
      </c>
      <c r="S35" s="192"/>
    </row>
    <row r="36" spans="1:19" ht="30" customHeight="1" x14ac:dyDescent="0.35">
      <c r="A36" s="67"/>
      <c r="B36" s="67"/>
      <c r="C36" s="65"/>
      <c r="D36" s="65"/>
      <c r="E36" s="67"/>
      <c r="F36" s="65"/>
      <c r="G36" s="65"/>
      <c r="H36" s="67"/>
      <c r="I36" s="65"/>
      <c r="J36" s="65"/>
      <c r="K36" s="67"/>
      <c r="L36" s="65"/>
      <c r="M36" s="65"/>
      <c r="N36" s="67"/>
      <c r="O36" s="65"/>
      <c r="P36" s="65"/>
      <c r="Q36" s="67"/>
      <c r="R36" s="106"/>
      <c r="S36" s="70"/>
    </row>
    <row r="37" spans="1:19" ht="30" customHeight="1" x14ac:dyDescent="0.35">
      <c r="A37" s="61"/>
      <c r="B37" s="56"/>
      <c r="C37" s="57"/>
      <c r="D37" s="57"/>
      <c r="E37" s="56"/>
      <c r="F37" s="57"/>
      <c r="G37" s="57"/>
      <c r="H37" s="56"/>
      <c r="I37" s="57"/>
      <c r="J37" s="57"/>
      <c r="K37" s="56"/>
      <c r="L37" s="57"/>
      <c r="M37" s="57"/>
      <c r="N37" s="56"/>
      <c r="O37" s="57"/>
      <c r="P37" s="57"/>
      <c r="Q37" s="56"/>
      <c r="R37" s="66"/>
      <c r="S37" s="70"/>
    </row>
    <row r="38" spans="1:19" s="186" customFormat="1" ht="30" customHeight="1" x14ac:dyDescent="0.35">
      <c r="A38" s="93" t="s">
        <v>50</v>
      </c>
      <c r="B38" s="187">
        <v>5.4078897764423646</v>
      </c>
      <c r="C38" s="188">
        <v>20.370295085087299</v>
      </c>
      <c r="D38" s="188">
        <v>26.415651469671666</v>
      </c>
      <c r="E38" s="187">
        <v>6.2882940416361093</v>
      </c>
      <c r="F38" s="188">
        <v>3.8120317335409584</v>
      </c>
      <c r="G38" s="188">
        <v>9.9056109254256643</v>
      </c>
      <c r="H38" s="187">
        <v>2.3335789635283808</v>
      </c>
      <c r="I38" s="188">
        <v>26.723706138746905</v>
      </c>
      <c r="J38" s="188">
        <v>28.745575555052611</v>
      </c>
      <c r="K38" s="187">
        <v>9.5173874706986066</v>
      </c>
      <c r="L38" s="188">
        <v>8.699839518304735</v>
      </c>
      <c r="M38" s="188">
        <v>19.220789309453355</v>
      </c>
      <c r="N38" s="187">
        <v>28.156191273805188</v>
      </c>
      <c r="O38" s="188">
        <v>26.802081309587123</v>
      </c>
      <c r="P38" s="188">
        <v>61.005855829336234</v>
      </c>
      <c r="Q38" s="187">
        <v>5.9623162324665326</v>
      </c>
      <c r="R38" s="189">
        <v>22.470584483781888</v>
      </c>
      <c r="S38" s="188"/>
    </row>
    <row r="39" spans="1:19" ht="30" customHeight="1" x14ac:dyDescent="0.35">
      <c r="A39" s="64"/>
      <c r="B39" s="64"/>
      <c r="C39" s="65"/>
      <c r="D39" s="65"/>
      <c r="E39" s="64"/>
      <c r="F39" s="65"/>
      <c r="G39" s="65"/>
      <c r="H39" s="64"/>
      <c r="I39" s="65"/>
      <c r="J39" s="65"/>
      <c r="K39" s="64"/>
      <c r="L39" s="65"/>
      <c r="M39" s="65"/>
      <c r="N39" s="64"/>
      <c r="O39" s="65"/>
      <c r="P39" s="65"/>
      <c r="Q39" s="64"/>
      <c r="R39" s="106"/>
      <c r="S39" s="70"/>
    </row>
    <row r="40" spans="1:19" ht="24" thickBot="1" x14ac:dyDescent="0.4">
      <c r="A40" s="64"/>
      <c r="B40" s="64"/>
      <c r="C40" s="65"/>
      <c r="D40" s="65"/>
      <c r="E40" s="64"/>
      <c r="F40" s="65"/>
      <c r="G40" s="65"/>
      <c r="H40" s="64"/>
      <c r="I40" s="65"/>
      <c r="J40" s="65"/>
      <c r="K40" s="64"/>
      <c r="L40" s="65"/>
      <c r="M40" s="65"/>
      <c r="N40" s="64"/>
      <c r="O40" s="65"/>
      <c r="P40" s="65"/>
      <c r="Q40" s="64"/>
      <c r="R40" s="106"/>
    </row>
    <row r="41" spans="1:19" ht="24" thickTop="1" x14ac:dyDescent="0.35">
      <c r="A41" s="75" t="s">
        <v>51</v>
      </c>
      <c r="B41" s="113"/>
      <c r="C41" s="113"/>
      <c r="D41" s="113"/>
      <c r="E41" s="113"/>
      <c r="F41" s="113"/>
      <c r="G41" s="113"/>
      <c r="H41" s="112"/>
      <c r="I41" s="113"/>
      <c r="J41" s="113"/>
      <c r="K41" s="108"/>
      <c r="L41" s="109"/>
      <c r="M41" s="109"/>
      <c r="N41" s="77"/>
      <c r="O41" s="113"/>
      <c r="P41" s="113"/>
      <c r="Q41" s="75"/>
      <c r="R41" s="113"/>
    </row>
    <row r="44" spans="1:19" ht="23.25" x14ac:dyDescent="0.35">
      <c r="A44" s="111"/>
      <c r="B44" s="111"/>
      <c r="C44" s="111"/>
      <c r="D44" s="111"/>
      <c r="E44" s="111"/>
      <c r="F44" s="111"/>
      <c r="G44" s="111"/>
      <c r="K44" s="205"/>
      <c r="L44" s="205"/>
      <c r="M44" s="205"/>
    </row>
    <row r="46" spans="1:19" ht="20.25" x14ac:dyDescent="0.3">
      <c r="M46" s="206"/>
    </row>
  </sheetData>
  <mergeCells count="2">
    <mergeCell ref="E6:G6"/>
    <mergeCell ref="Q6:R6"/>
  </mergeCells>
  <pageMargins left="0.7" right="0.7" top="0.75" bottom="0.75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Kolda</vt:lpstr>
      <vt:lpstr>CULTURES INDUSTRIELLES</vt:lpstr>
      <vt:lpstr>CEREALES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PC</cp:lastModifiedBy>
  <cp:lastPrinted>2020-11-06T18:00:01Z</cp:lastPrinted>
  <dcterms:created xsi:type="dcterms:W3CDTF">2019-10-21T10:38:31Z</dcterms:created>
  <dcterms:modified xsi:type="dcterms:W3CDTF">2024-09-06T20:14:43Z</dcterms:modified>
</cp:coreProperties>
</file>