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oi7\OneDrive\Desktop\"/>
    </mc:Choice>
  </mc:AlternateContent>
  <xr:revisionPtr revIDLastSave="0" documentId="8_{AD9E1825-7582-4446-BEB7-2FDEA3812DDE}" xr6:coauthVersionLast="47" xr6:coauthVersionMax="47" xr10:uidLastSave="{00000000-0000-0000-0000-000000000000}"/>
  <bookViews>
    <workbookView xWindow="-108" yWindow="-108" windowWidth="23256" windowHeight="14856" tabRatio="599" activeTab="1" xr2:uid="{00000000-000D-0000-FFFF-FFFF00000000}"/>
  </bookViews>
  <sheets>
    <sheet name="CULTURES CEREALIERES" sheetId="7" r:id="rId1"/>
    <sheet name="CULTURES INDUST ET AUTRES" sheetId="6" r:id="rId2"/>
  </sheets>
  <externalReferences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" i="6" l="1"/>
  <c r="G47" i="6"/>
  <c r="N47" i="6"/>
  <c r="K47" i="6"/>
  <c r="P9" i="6"/>
  <c r="P10" i="6"/>
  <c r="P13" i="6"/>
  <c r="P17" i="6"/>
  <c r="P24" i="6"/>
  <c r="P19" i="6"/>
  <c r="P33" i="6"/>
  <c r="P34" i="6"/>
  <c r="P40" i="6"/>
  <c r="P44" i="6"/>
  <c r="P45" i="6"/>
  <c r="P5" i="6"/>
  <c r="P6" i="6"/>
  <c r="P7" i="6"/>
  <c r="P8" i="6"/>
  <c r="P11" i="6"/>
  <c r="P12" i="6"/>
  <c r="P14" i="6"/>
  <c r="P15" i="6"/>
  <c r="P16" i="6"/>
  <c r="P18" i="6"/>
  <c r="P20" i="6"/>
  <c r="P21" i="6"/>
  <c r="P22" i="6"/>
  <c r="P23" i="6"/>
  <c r="P25" i="6"/>
  <c r="P26" i="6"/>
  <c r="P27" i="6"/>
  <c r="P28" i="6"/>
  <c r="P29" i="6"/>
  <c r="P30" i="6"/>
  <c r="P31" i="6"/>
  <c r="P32" i="6"/>
  <c r="P35" i="6"/>
  <c r="P36" i="6"/>
  <c r="P37" i="6"/>
  <c r="P38" i="6"/>
  <c r="P39" i="6"/>
  <c r="P41" i="6"/>
  <c r="P42" i="6"/>
  <c r="P43" i="6"/>
  <c r="P46" i="6"/>
  <c r="Q5" i="6"/>
  <c r="S5" i="6" s="1"/>
  <c r="S6" i="6"/>
  <c r="S7" i="6"/>
  <c r="S8" i="6"/>
  <c r="S9" i="6"/>
  <c r="S10" i="6"/>
  <c r="S11" i="6"/>
  <c r="S12" i="6"/>
  <c r="Q13" i="6"/>
  <c r="S13" i="6" s="1"/>
  <c r="S14" i="6"/>
  <c r="S15" i="6"/>
  <c r="Q16" i="6"/>
  <c r="S16" i="6" s="1"/>
  <c r="S17" i="6"/>
  <c r="S18" i="6"/>
  <c r="S19" i="6"/>
  <c r="S20" i="6"/>
  <c r="S21" i="6"/>
  <c r="S22" i="6"/>
  <c r="Q23" i="6"/>
  <c r="S23" i="6" s="1"/>
  <c r="S24" i="6"/>
  <c r="S25" i="6"/>
  <c r="Q26" i="6"/>
  <c r="S26" i="6" s="1"/>
  <c r="S27" i="6"/>
  <c r="Q28" i="6"/>
  <c r="S28" i="6" s="1"/>
  <c r="Q30" i="6"/>
  <c r="S30" i="6" s="1"/>
  <c r="S31" i="6"/>
  <c r="S32" i="6"/>
  <c r="S33" i="6"/>
  <c r="S34" i="6"/>
  <c r="S35" i="6"/>
  <c r="S36" i="6"/>
  <c r="S37" i="6"/>
  <c r="S41" i="6"/>
  <c r="Q42" i="6"/>
  <c r="S42" i="6" s="1"/>
  <c r="S43" i="6"/>
  <c r="S44" i="6"/>
  <c r="S45" i="6"/>
  <c r="S46" i="6"/>
  <c r="E23" i="6"/>
  <c r="E47" i="6" s="1"/>
  <c r="P47" i="6" l="1"/>
  <c r="F47" i="6"/>
  <c r="S47" i="6"/>
  <c r="Q47" i="6"/>
  <c r="K54" i="7"/>
  <c r="Q48" i="7"/>
  <c r="Q49" i="7"/>
  <c r="Q50" i="7"/>
  <c r="Q51" i="7"/>
  <c r="Q52" i="7"/>
  <c r="Q53" i="7"/>
  <c r="Q47" i="7"/>
  <c r="B47" i="6" l="1"/>
  <c r="H47" i="6" l="1"/>
  <c r="Q6" i="7" l="1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5" i="7"/>
  <c r="N54" i="7"/>
  <c r="H54" i="7"/>
  <c r="E54" i="7"/>
  <c r="B54" i="7" l="1"/>
  <c r="Q54" i="7" l="1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J6" i="7" l="1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M6" i="6" l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M47" i="6" l="1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53" i="7"/>
  <c r="M5" i="7"/>
  <c r="M54" i="7" l="1"/>
  <c r="P54" i="7"/>
  <c r="D7" i="7"/>
  <c r="D8" i="7"/>
  <c r="D9" i="7"/>
  <c r="D10" i="7"/>
  <c r="R10" i="7" s="1"/>
  <c r="D11" i="7"/>
  <c r="D12" i="7"/>
  <c r="D13" i="7"/>
  <c r="D14" i="7"/>
  <c r="D15" i="7"/>
  <c r="D16" i="7"/>
  <c r="D17" i="7"/>
  <c r="D18" i="7"/>
  <c r="D19" i="7"/>
  <c r="D20" i="7"/>
  <c r="D21" i="7"/>
  <c r="R21" i="7" s="1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R34" i="7" s="1"/>
  <c r="D35" i="7"/>
  <c r="R35" i="7" s="1"/>
  <c r="D36" i="7"/>
  <c r="D37" i="7"/>
  <c r="R37" i="7" s="1"/>
  <c r="D38" i="7"/>
  <c r="R38" i="7" s="1"/>
  <c r="D39" i="7"/>
  <c r="D40" i="7"/>
  <c r="D41" i="7"/>
  <c r="D42" i="7"/>
  <c r="D43" i="7"/>
  <c r="D44" i="7"/>
  <c r="R44" i="7" s="1"/>
  <c r="D45" i="7"/>
  <c r="D46" i="7"/>
  <c r="R46" i="7" s="1"/>
  <c r="D47" i="7"/>
  <c r="R47" i="7" s="1"/>
  <c r="D48" i="7"/>
  <c r="R48" i="7" s="1"/>
  <c r="D49" i="7"/>
  <c r="R49" i="7" s="1"/>
  <c r="D50" i="7"/>
  <c r="R50" i="7" s="1"/>
  <c r="D51" i="7"/>
  <c r="R51" i="7" s="1"/>
  <c r="D52" i="7"/>
  <c r="R52" i="7" s="1"/>
  <c r="D53" i="7"/>
  <c r="R53" i="7" s="1"/>
  <c r="D5" i="7"/>
  <c r="R27" i="7" l="1"/>
  <c r="J5" i="6"/>
  <c r="J47" i="6" s="1"/>
  <c r="I47" i="6" l="1"/>
  <c r="L47" i="6" l="1"/>
  <c r="L54" i="7" l="1"/>
  <c r="O54" i="7"/>
  <c r="G36" i="7" l="1"/>
  <c r="R36" i="7" s="1"/>
  <c r="D5" i="6" l="1"/>
  <c r="D47" i="6" l="1"/>
  <c r="G23" i="7"/>
  <c r="R23" i="7" s="1"/>
  <c r="C47" i="6" l="1"/>
  <c r="G40" i="7"/>
  <c r="R40" i="7" s="1"/>
  <c r="G22" i="7" l="1"/>
  <c r="R22" i="7" s="1"/>
  <c r="D6" i="7" l="1"/>
  <c r="D54" i="7" s="1"/>
  <c r="C54" i="7" l="1"/>
  <c r="J5" i="7"/>
  <c r="G33" i="7"/>
  <c r="R33" i="7" s="1"/>
  <c r="G7" i="7"/>
  <c r="R7" i="7" s="1"/>
  <c r="G8" i="7"/>
  <c r="R8" i="7" s="1"/>
  <c r="G9" i="7"/>
  <c r="R9" i="7" s="1"/>
  <c r="G11" i="7"/>
  <c r="R11" i="7" s="1"/>
  <c r="G13" i="7"/>
  <c r="R13" i="7" s="1"/>
  <c r="G14" i="7"/>
  <c r="R14" i="7" s="1"/>
  <c r="G15" i="7"/>
  <c r="R15" i="7" s="1"/>
  <c r="G16" i="7"/>
  <c r="R16" i="7" s="1"/>
  <c r="G17" i="7"/>
  <c r="R17" i="7" s="1"/>
  <c r="G18" i="7"/>
  <c r="R18" i="7" s="1"/>
  <c r="G19" i="7"/>
  <c r="R19" i="7" s="1"/>
  <c r="G20" i="7"/>
  <c r="R20" i="7" s="1"/>
  <c r="G24" i="7"/>
  <c r="R24" i="7" s="1"/>
  <c r="G25" i="7"/>
  <c r="R25" i="7" s="1"/>
  <c r="G26" i="7"/>
  <c r="R26" i="7" s="1"/>
  <c r="G28" i="7"/>
  <c r="R28" i="7" s="1"/>
  <c r="G29" i="7"/>
  <c r="R29" i="7" s="1"/>
  <c r="G30" i="7"/>
  <c r="R30" i="7" s="1"/>
  <c r="G32" i="7"/>
  <c r="R32" i="7" s="1"/>
  <c r="G39" i="7"/>
  <c r="R39" i="7" s="1"/>
  <c r="G41" i="7"/>
  <c r="R41" i="7" s="1"/>
  <c r="G42" i="7"/>
  <c r="R42" i="7" s="1"/>
  <c r="G43" i="7"/>
  <c r="R43" i="7" s="1"/>
  <c r="G45" i="7"/>
  <c r="R45" i="7" s="1"/>
  <c r="G5" i="7"/>
  <c r="G6" i="7"/>
  <c r="R6" i="7" s="1"/>
  <c r="G31" i="7"/>
  <c r="R31" i="7" s="1"/>
  <c r="J54" i="7" l="1"/>
  <c r="R5" i="7"/>
  <c r="G12" i="7"/>
  <c r="R12" i="7" s="1"/>
  <c r="G54" i="7" l="1"/>
  <c r="I54" i="7"/>
  <c r="R54" i="7" l="1"/>
  <c r="F54" i="7"/>
  <c r="R47" i="6" l="1"/>
  <c r="O47" i="6"/>
</calcChain>
</file>

<file path=xl/sharedStrings.xml><?xml version="1.0" encoding="utf-8"?>
<sst xmlns="http://schemas.openxmlformats.org/spreadsheetml/2006/main" count="170" uniqueCount="73">
  <si>
    <t>Departements</t>
  </si>
  <si>
    <t>RUFISQUE</t>
  </si>
  <si>
    <t>BIGNONA</t>
  </si>
  <si>
    <t>OUSSOUYE</t>
  </si>
  <si>
    <t>ZIGUINCHOR</t>
  </si>
  <si>
    <t>BAMBEY</t>
  </si>
  <si>
    <t>DIOURBEL</t>
  </si>
  <si>
    <t>MBACKE</t>
  </si>
  <si>
    <t>DAGANA</t>
  </si>
  <si>
    <t>PODOR</t>
  </si>
  <si>
    <t>SAINT LOUIS</t>
  </si>
  <si>
    <t>BAKEL</t>
  </si>
  <si>
    <t>GOUDIRY</t>
  </si>
  <si>
    <t>TAMBACOUNDA</t>
  </si>
  <si>
    <t>GUINGUINEO</t>
  </si>
  <si>
    <t>KAOLACK</t>
  </si>
  <si>
    <t>NIORO DU RIP</t>
  </si>
  <si>
    <t>MBOUR</t>
  </si>
  <si>
    <t>THIES</t>
  </si>
  <si>
    <t>TIVAOUANE</t>
  </si>
  <si>
    <t>KEBEMER</t>
  </si>
  <si>
    <t>LINGUERE</t>
  </si>
  <si>
    <t>LOUGA</t>
  </si>
  <si>
    <t>FATICK</t>
  </si>
  <si>
    <t>FOUNDIOUGNE</t>
  </si>
  <si>
    <t>GOSSAS</t>
  </si>
  <si>
    <t>KOLDA</t>
  </si>
  <si>
    <t>MEDINA YORO</t>
  </si>
  <si>
    <t>VELINGARA</t>
  </si>
  <si>
    <t>KANEL</t>
  </si>
  <si>
    <t>MATAM</t>
  </si>
  <si>
    <t>RANEROU</t>
  </si>
  <si>
    <t>KAFFRINE</t>
  </si>
  <si>
    <t>KOUNGHEUL</t>
  </si>
  <si>
    <t>MALEM HODDAR</t>
  </si>
  <si>
    <t>KEDOUGOU</t>
  </si>
  <si>
    <t>SALEMATA</t>
  </si>
  <si>
    <t>SARAYA</t>
  </si>
  <si>
    <t>BOUNKILING</t>
  </si>
  <si>
    <t>GOUDOMP</t>
  </si>
  <si>
    <t>SEDHIOU</t>
  </si>
  <si>
    <t>MIL</t>
  </si>
  <si>
    <t>SORGHO</t>
  </si>
  <si>
    <t>MAIS</t>
  </si>
  <si>
    <t>RIZ</t>
  </si>
  <si>
    <t>FONIO</t>
  </si>
  <si>
    <t>DAGANA SAED</t>
  </si>
  <si>
    <t>PODOR SAED</t>
  </si>
  <si>
    <t>SAINT LOUIS SAED</t>
  </si>
  <si>
    <t>BAKEL SAED</t>
  </si>
  <si>
    <t>MATAM SAED</t>
  </si>
  <si>
    <t>Sup(ha)</t>
  </si>
  <si>
    <t xml:space="preserve">Product(T) </t>
  </si>
  <si>
    <t>Rdt(kg/ha)</t>
  </si>
  <si>
    <t>TOTAL CEREALES</t>
  </si>
  <si>
    <t>COTON</t>
  </si>
  <si>
    <t>NIEBE</t>
  </si>
  <si>
    <t>MANIOC</t>
  </si>
  <si>
    <t>PASTEQUE</t>
  </si>
  <si>
    <t>SESAME</t>
  </si>
  <si>
    <t>KANEL SAED</t>
  </si>
  <si>
    <t>KOUPENTOUM</t>
  </si>
  <si>
    <t/>
  </si>
  <si>
    <t xml:space="preserve">RESULTATS PREVISIONNELS DE LA CAMPAGNE AGRICOLE 2024-2025 </t>
  </si>
  <si>
    <t xml:space="preserve"> </t>
  </si>
  <si>
    <t>AMENAGEMENT SODAGRI</t>
  </si>
  <si>
    <t>BIRKILANE</t>
  </si>
  <si>
    <t>ARACHIDE</t>
  </si>
  <si>
    <t xml:space="preserve">MEDINA YORO </t>
  </si>
  <si>
    <t xml:space="preserve">RESULTATS DEFINITIFS DE LA CAMPAGNE AGRICOLE 2024-2025 </t>
  </si>
  <si>
    <t>Source : DAPSA/MAESA</t>
  </si>
  <si>
    <t>TOTAL SENEGAL (1)</t>
  </si>
  <si>
    <t>TOTAL  SENEGAL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</si>
</sst>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\ _F_-;\-* #,##0\ _F_-;_-* &quot;-&quot;\ _F_-;_-@_-"/>
    <numFmt numFmtId="165" formatCode="_-* #,##0.00\ _F_-;\-* #,##0.00\ _F_-;_-* &quot;-&quot;??\ _F_-;_-@_-"/>
    <numFmt numFmtId="166" formatCode="_-* #,##0.00\ _€_-;\-* #,##0.00\ _€_-;_-* &quot;-&quot;??\ _€_-;_-@_-"/>
    <numFmt numFmtId="167" formatCode="_-* #,##0\ _€_-;\-* #,##0\ _€_-;_-* &quot;-&quot;??\ _€_-;_-@_-"/>
    <numFmt numFmtId="168" formatCode="#,##0_ ;\-#,##0\ "/>
    <numFmt numFmtId="169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 style="medium">
        <color indexed="64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auto="1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/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auto="1"/>
      </left>
      <right style="thick">
        <color auto="1"/>
      </right>
      <top style="thin">
        <color indexed="64"/>
      </top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indexed="64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7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89">
    <xf numFmtId="0" fontId="0" fillId="0" borderId="0" xfId="0"/>
    <xf numFmtId="0" fontId="2" fillId="0" borderId="0" xfId="0" applyFont="1"/>
    <xf numFmtId="0" fontId="5" fillId="0" borderId="6" xfId="0" applyFont="1" applyBorder="1" applyAlignment="1">
      <alignment horizontal="center" vertical="top"/>
    </xf>
    <xf numFmtId="0" fontId="4" fillId="0" borderId="2" xfId="0" applyFont="1" applyBorder="1"/>
    <xf numFmtId="0" fontId="4" fillId="0" borderId="0" xfId="0" applyFont="1"/>
    <xf numFmtId="0" fontId="4" fillId="0" borderId="8" xfId="0" applyFont="1" applyBorder="1"/>
    <xf numFmtId="0" fontId="2" fillId="0" borderId="7" xfId="0" applyFont="1" applyBorder="1"/>
    <xf numFmtId="167" fontId="2" fillId="0" borderId="19" xfId="1" applyNumberFormat="1" applyFont="1" applyFill="1" applyBorder="1" applyAlignment="1">
      <alignment horizontal="center"/>
    </xf>
    <xf numFmtId="1" fontId="2" fillId="0" borderId="19" xfId="0" applyNumberFormat="1" applyFont="1" applyBorder="1" applyAlignment="1">
      <alignment horizontal="center"/>
    </xf>
    <xf numFmtId="167" fontId="2" fillId="0" borderId="20" xfId="1" applyNumberFormat="1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 wrapText="1"/>
    </xf>
    <xf numFmtId="0" fontId="2" fillId="0" borderId="14" xfId="0" applyFont="1" applyBorder="1"/>
    <xf numFmtId="167" fontId="2" fillId="0" borderId="24" xfId="1" applyNumberFormat="1" applyFont="1" applyFill="1" applyBorder="1" applyAlignment="1">
      <alignment horizontal="center"/>
    </xf>
    <xf numFmtId="169" fontId="2" fillId="0" borderId="20" xfId="1" applyNumberFormat="1" applyFont="1" applyFill="1" applyBorder="1" applyAlignment="1">
      <alignment horizontal="center"/>
    </xf>
    <xf numFmtId="169" fontId="4" fillId="0" borderId="6" xfId="1" applyNumberFormat="1" applyFont="1" applyFill="1" applyBorder="1" applyAlignment="1">
      <alignment horizontal="center"/>
    </xf>
    <xf numFmtId="0" fontId="2" fillId="0" borderId="16" xfId="0" applyFont="1" applyBorder="1"/>
    <xf numFmtId="0" fontId="5" fillId="0" borderId="9" xfId="0" applyFont="1" applyBorder="1" applyAlignment="1">
      <alignment horizontal="center" vertical="top" wrapText="1"/>
    </xf>
    <xf numFmtId="167" fontId="2" fillId="0" borderId="0" xfId="0" applyNumberFormat="1" applyFont="1"/>
    <xf numFmtId="1" fontId="0" fillId="0" borderId="0" xfId="0" applyNumberFormat="1"/>
    <xf numFmtId="0" fontId="5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/>
    <xf numFmtId="0" fontId="2" fillId="0" borderId="18" xfId="0" applyFont="1" applyBorder="1"/>
    <xf numFmtId="0" fontId="2" fillId="0" borderId="15" xfId="0" applyFont="1" applyBorder="1"/>
    <xf numFmtId="0" fontId="2" fillId="0" borderId="23" xfId="0" applyFont="1" applyBorder="1"/>
    <xf numFmtId="1" fontId="4" fillId="0" borderId="2" xfId="0" applyNumberFormat="1" applyFont="1" applyBorder="1"/>
    <xf numFmtId="164" fontId="6" fillId="0" borderId="20" xfId="14" applyFont="1" applyFill="1" applyBorder="1" applyAlignment="1">
      <alignment horizontal="right"/>
    </xf>
    <xf numFmtId="164" fontId="6" fillId="0" borderId="20" xfId="14" applyFont="1" applyFill="1" applyBorder="1" applyAlignment="1">
      <alignment horizontal="center"/>
    </xf>
    <xf numFmtId="164" fontId="6" fillId="0" borderId="19" xfId="14" applyFont="1" applyFill="1" applyBorder="1" applyAlignment="1">
      <alignment horizontal="center"/>
    </xf>
    <xf numFmtId="164" fontId="6" fillId="0" borderId="28" xfId="14" applyFont="1" applyFill="1" applyBorder="1" applyAlignment="1">
      <alignment horizontal="center"/>
    </xf>
    <xf numFmtId="169" fontId="4" fillId="0" borderId="9" xfId="1" applyNumberFormat="1" applyFont="1" applyFill="1" applyBorder="1" applyAlignment="1">
      <alignment horizontal="center"/>
    </xf>
    <xf numFmtId="164" fontId="8" fillId="0" borderId="0" xfId="14" applyFont="1" applyFill="1"/>
    <xf numFmtId="164" fontId="8" fillId="0" borderId="13" xfId="14" applyFont="1" applyFill="1" applyBorder="1" applyAlignment="1">
      <alignment horizontal="right"/>
    </xf>
    <xf numFmtId="164" fontId="8" fillId="0" borderId="13" xfId="14" applyFont="1" applyFill="1" applyBorder="1"/>
    <xf numFmtId="164" fontId="8" fillId="0" borderId="14" xfId="14" applyFont="1" applyFill="1" applyBorder="1"/>
    <xf numFmtId="164" fontId="8" fillId="0" borderId="7" xfId="14" applyFont="1" applyFill="1" applyBorder="1"/>
    <xf numFmtId="168" fontId="6" fillId="0" borderId="6" xfId="1" applyNumberFormat="1" applyFont="1" applyFill="1" applyBorder="1" applyAlignment="1">
      <alignment horizontal="right"/>
    </xf>
    <xf numFmtId="168" fontId="6" fillId="0" borderId="6" xfId="1" applyNumberFormat="1" applyFont="1" applyFill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167" fontId="2" fillId="0" borderId="28" xfId="1" applyNumberFormat="1" applyFont="1" applyFill="1" applyBorder="1" applyAlignment="1">
      <alignment horizontal="center"/>
    </xf>
    <xf numFmtId="169" fontId="2" fillId="0" borderId="0" xfId="0" applyNumberFormat="1" applyFont="1"/>
    <xf numFmtId="1" fontId="2" fillId="0" borderId="0" xfId="0" applyNumberFormat="1" applyFont="1"/>
    <xf numFmtId="9" fontId="2" fillId="0" borderId="0" xfId="0" applyNumberFormat="1" applyFont="1"/>
    <xf numFmtId="168" fontId="6" fillId="0" borderId="2" xfId="1" applyNumberFormat="1" applyFont="1" applyFill="1" applyBorder="1" applyAlignment="1">
      <alignment horizontal="right"/>
    </xf>
    <xf numFmtId="164" fontId="6" fillId="0" borderId="7" xfId="14" applyFont="1" applyFill="1" applyBorder="1" applyAlignment="1">
      <alignment horizontal="right"/>
    </xf>
    <xf numFmtId="164" fontId="6" fillId="0" borderId="6" xfId="14" applyFont="1" applyFill="1" applyBorder="1" applyAlignment="1">
      <alignment horizontal="right"/>
    </xf>
    <xf numFmtId="169" fontId="6" fillId="0" borderId="20" xfId="1" applyNumberFormat="1" applyFont="1" applyFill="1" applyBorder="1" applyAlignment="1">
      <alignment horizontal="center"/>
    </xf>
    <xf numFmtId="167" fontId="6" fillId="0" borderId="20" xfId="1" applyNumberFormat="1" applyFont="1" applyFill="1" applyBorder="1" applyAlignment="1">
      <alignment horizontal="right"/>
    </xf>
    <xf numFmtId="167" fontId="6" fillId="0" borderId="20" xfId="1" applyNumberFormat="1" applyFont="1" applyFill="1" applyBorder="1" applyAlignment="1">
      <alignment horizontal="center"/>
    </xf>
    <xf numFmtId="169" fontId="6" fillId="0" borderId="32" xfId="1" applyNumberFormat="1" applyFont="1" applyFill="1" applyBorder="1"/>
    <xf numFmtId="167" fontId="6" fillId="0" borderId="33" xfId="1" applyNumberFormat="1" applyFont="1" applyFill="1" applyBorder="1"/>
    <xf numFmtId="167" fontId="6" fillId="0" borderId="34" xfId="1" applyNumberFormat="1" applyFont="1" applyFill="1" applyBorder="1"/>
    <xf numFmtId="169" fontId="6" fillId="0" borderId="17" xfId="1" applyNumberFormat="1" applyFont="1" applyFill="1" applyBorder="1"/>
    <xf numFmtId="167" fontId="6" fillId="0" borderId="17" xfId="1" applyNumberFormat="1" applyFont="1" applyFill="1" applyBorder="1"/>
    <xf numFmtId="167" fontId="6" fillId="0" borderId="29" xfId="1" applyNumberFormat="1" applyFont="1" applyFill="1" applyBorder="1"/>
    <xf numFmtId="169" fontId="6" fillId="0" borderId="35" xfId="1" applyNumberFormat="1" applyFont="1" applyFill="1" applyBorder="1"/>
    <xf numFmtId="167" fontId="6" fillId="0" borderId="36" xfId="1" applyNumberFormat="1" applyFont="1" applyFill="1" applyBorder="1"/>
    <xf numFmtId="167" fontId="6" fillId="0" borderId="37" xfId="1" applyNumberFormat="1" applyFont="1" applyFill="1" applyBorder="1"/>
    <xf numFmtId="169" fontId="6" fillId="0" borderId="19" xfId="1" applyNumberFormat="1" applyFont="1" applyFill="1" applyBorder="1"/>
    <xf numFmtId="167" fontId="6" fillId="0" borderId="19" xfId="1" applyNumberFormat="1" applyFont="1" applyFill="1" applyBorder="1"/>
    <xf numFmtId="167" fontId="6" fillId="0" borderId="38" xfId="1" applyNumberFormat="1" applyFont="1" applyFill="1" applyBorder="1"/>
    <xf numFmtId="0" fontId="6" fillId="0" borderId="26" xfId="0" applyFont="1" applyBorder="1"/>
    <xf numFmtId="1" fontId="6" fillId="0" borderId="26" xfId="0" applyNumberFormat="1" applyFont="1" applyBorder="1"/>
    <xf numFmtId="1" fontId="8" fillId="0" borderId="19" xfId="0" applyNumberFormat="1" applyFont="1" applyBorder="1" applyAlignment="1">
      <alignment horizontal="right"/>
    </xf>
    <xf numFmtId="1" fontId="6" fillId="0" borderId="19" xfId="1" applyNumberFormat="1" applyFont="1" applyFill="1" applyBorder="1" applyAlignment="1">
      <alignment horizontal="right"/>
    </xf>
    <xf numFmtId="169" fontId="6" fillId="0" borderId="39" xfId="1" applyNumberFormat="1" applyFont="1" applyFill="1" applyBorder="1"/>
    <xf numFmtId="167" fontId="6" fillId="0" borderId="40" xfId="1" applyNumberFormat="1" applyFont="1" applyFill="1" applyBorder="1"/>
    <xf numFmtId="167" fontId="6" fillId="0" borderId="41" xfId="1" applyNumberFormat="1" applyFont="1" applyFill="1" applyBorder="1"/>
    <xf numFmtId="169" fontId="6" fillId="0" borderId="42" xfId="1" applyNumberFormat="1" applyFont="1" applyFill="1" applyBorder="1"/>
    <xf numFmtId="167" fontId="6" fillId="0" borderId="42" xfId="1" applyNumberFormat="1" applyFont="1" applyFill="1" applyBorder="1"/>
    <xf numFmtId="169" fontId="6" fillId="0" borderId="6" xfId="1" applyNumberFormat="1" applyFont="1" applyFill="1" applyBorder="1"/>
    <xf numFmtId="1" fontId="6" fillId="0" borderId="6" xfId="0" applyNumberFormat="1" applyFont="1" applyBorder="1"/>
    <xf numFmtId="168" fontId="6" fillId="0" borderId="2" xfId="1" applyNumberFormat="1" applyFont="1" applyFill="1" applyBorder="1"/>
    <xf numFmtId="167" fontId="6" fillId="0" borderId="13" xfId="1" applyNumberFormat="1" applyFont="1" applyFill="1" applyBorder="1"/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22" xfId="0" applyFont="1" applyBorder="1" applyAlignment="1">
      <alignment horizontal="center"/>
    </xf>
  </cellXfs>
  <cellStyles count="15">
    <cellStyle name="Milliers" xfId="1" builtinId="3"/>
    <cellStyle name="Milliers [0]" xfId="14" builtinId="6"/>
    <cellStyle name="Milliers 2" xfId="4" xr:uid="{00000000-0005-0000-0000-000002000000}"/>
    <cellStyle name="Milliers 2 2" xfId="3" xr:uid="{00000000-0005-0000-0000-000003000000}"/>
    <cellStyle name="Milliers 3" xfId="2" xr:uid="{00000000-0005-0000-0000-000004000000}"/>
    <cellStyle name="Normal" xfId="0" builtinId="0"/>
    <cellStyle name="Normal 2" xfId="5" xr:uid="{00000000-0005-0000-0000-000006000000}"/>
    <cellStyle name="style1541010502614" xfId="6" xr:uid="{00000000-0005-0000-0000-000007000000}"/>
    <cellStyle name="style1541010502645" xfId="7" xr:uid="{00000000-0005-0000-0000-000008000000}"/>
    <cellStyle name="style1541010502789" xfId="8" xr:uid="{00000000-0005-0000-0000-000009000000}"/>
    <cellStyle name="style1541010502849" xfId="9" xr:uid="{00000000-0005-0000-0000-00000A000000}"/>
    <cellStyle name="style1541010503045" xfId="12" xr:uid="{00000000-0005-0000-0000-00000B000000}"/>
    <cellStyle name="style1541010503729" xfId="10" xr:uid="{00000000-0005-0000-0000-00000C000000}"/>
    <cellStyle name="style1541010503789" xfId="11" xr:uid="{00000000-0005-0000-0000-00000D000000}"/>
    <cellStyle name="style1541010503847" xfId="13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NSD\Desktop\Donn&#233;es%20pr&#233;visonnelles%202024\81124_RLT_PREV\superficie_2021_2023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MIL"/>
      <sheetName val="SORGHO"/>
      <sheetName val="MAIS"/>
      <sheetName val="RIZ"/>
      <sheetName val="NIEBE"/>
      <sheetName val="MANIOC"/>
      <sheetName val="PASTEQUE"/>
      <sheetName val="SESAME"/>
      <sheetName val="Feuil10"/>
      <sheetName val="FON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E2" t="str">
            <v>PASTEQUE</v>
          </cell>
        </row>
      </sheetData>
      <sheetData sheetId="8">
        <row r="3">
          <cell r="C3" t="str">
            <v>id_dep</v>
          </cell>
          <cell r="D3" t="str">
            <v>SESAME</v>
          </cell>
        </row>
        <row r="4">
          <cell r="C4" t="str">
            <v>MBACKE</v>
          </cell>
          <cell r="D4">
            <v>1700.798</v>
          </cell>
        </row>
        <row r="5">
          <cell r="C5" t="str">
            <v>TAMBACOUNDA</v>
          </cell>
          <cell r="D5">
            <v>107.548</v>
          </cell>
        </row>
        <row r="6">
          <cell r="C6" t="str">
            <v>GOUDIRY</v>
          </cell>
          <cell r="D6">
            <v>39.5</v>
          </cell>
        </row>
        <row r="7">
          <cell r="C7" t="str">
            <v>KOUPENTOUM</v>
          </cell>
          <cell r="D7">
            <v>879.49009999999998</v>
          </cell>
        </row>
        <row r="8">
          <cell r="C8" t="str">
            <v>KAOLACK</v>
          </cell>
          <cell r="D8">
            <v>121.645</v>
          </cell>
        </row>
        <row r="9">
          <cell r="C9" t="str">
            <v>GUINGUINEO</v>
          </cell>
          <cell r="D9">
            <v>40</v>
          </cell>
        </row>
        <row r="10">
          <cell r="C10" t="str">
            <v>LINGUERE</v>
          </cell>
          <cell r="D10">
            <v>201.09399999999999</v>
          </cell>
        </row>
        <row r="11">
          <cell r="C11" t="str">
            <v>FOUNDIOUGNE</v>
          </cell>
          <cell r="D11">
            <v>111</v>
          </cell>
        </row>
        <row r="12">
          <cell r="C12" t="str">
            <v>KOLDA</v>
          </cell>
          <cell r="D12">
            <v>2204.011</v>
          </cell>
        </row>
        <row r="13">
          <cell r="C13" t="str">
            <v>MEDINA YORO</v>
          </cell>
          <cell r="D13">
            <v>212.48349999999999</v>
          </cell>
        </row>
        <row r="14">
          <cell r="C14" t="str">
            <v>KAFFRINE</v>
          </cell>
          <cell r="D14">
            <v>494.74340000000001</v>
          </cell>
        </row>
        <row r="15">
          <cell r="C15" t="str">
            <v>MBIRKILANE</v>
          </cell>
          <cell r="D15">
            <v>26.66854</v>
          </cell>
        </row>
        <row r="16">
          <cell r="C16" t="str">
            <v>KOUNGHEUL</v>
          </cell>
          <cell r="D16">
            <v>5395.5190000000002</v>
          </cell>
        </row>
        <row r="17">
          <cell r="C17" t="str">
            <v>MALEM HODDAR</v>
          </cell>
          <cell r="D17">
            <v>785.01049999999998</v>
          </cell>
        </row>
        <row r="18">
          <cell r="C18" t="str">
            <v>SEDHIOU</v>
          </cell>
          <cell r="D18">
            <v>335.97269999999997</v>
          </cell>
        </row>
        <row r="19">
          <cell r="C19" t="str">
            <v>BOUNKILING</v>
          </cell>
          <cell r="D19">
            <v>1452.0429999999999</v>
          </cell>
        </row>
        <row r="20">
          <cell r="C20" t="str">
            <v>GOUDOMP</v>
          </cell>
          <cell r="D20">
            <v>498.22250000000003</v>
          </cell>
        </row>
        <row r="21">
          <cell r="C21" t="str">
            <v>Total</v>
          </cell>
          <cell r="D21">
            <v>14605.75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1"/>
  <sheetViews>
    <sheetView topLeftCell="A3" zoomScale="145" zoomScaleNormal="145" workbookViewId="0">
      <pane xSplit="1" ySplit="2" topLeftCell="F49" activePane="bottomRight" state="frozen"/>
      <selection activeCell="A3" sqref="A3"/>
      <selection pane="topRight" activeCell="B3" sqref="B3"/>
      <selection pane="bottomLeft" activeCell="A5" sqref="A5"/>
      <selection pane="bottomRight" activeCell="N56" sqref="N56"/>
    </sheetView>
  </sheetViews>
  <sheetFormatPr baseColWidth="10" defaultColWidth="11.44140625" defaultRowHeight="14.4" x14ac:dyDescent="0.3"/>
  <cols>
    <col min="1" max="1" width="33.6640625" style="1" customWidth="1"/>
    <col min="2" max="2" width="13.44140625" style="1" customWidth="1"/>
    <col min="3" max="3" width="11" style="1" customWidth="1"/>
    <col min="4" max="4" width="12" style="1" customWidth="1"/>
    <col min="5" max="10" width="11.44140625" style="1"/>
    <col min="11" max="12" width="11.44140625" style="1" customWidth="1"/>
    <col min="13" max="13" width="13.44140625" style="1" customWidth="1"/>
    <col min="14" max="16" width="11.44140625" style="1" customWidth="1"/>
    <col min="17" max="17" width="14.109375" style="1" customWidth="1"/>
    <col min="18" max="18" width="13.44140625" style="1" customWidth="1"/>
    <col min="19" max="16384" width="11.44140625" style="1"/>
  </cols>
  <sheetData>
    <row r="1" spans="1:18" ht="15.6" x14ac:dyDescent="0.3">
      <c r="A1" s="4" t="s">
        <v>63</v>
      </c>
      <c r="M1" s="17"/>
      <c r="N1" s="17"/>
      <c r="O1" s="17"/>
    </row>
    <row r="2" spans="1:18" ht="15" thickBot="1" x14ac:dyDescent="0.35"/>
    <row r="3" spans="1:18" ht="16.8" thickTop="1" thickBot="1" x14ac:dyDescent="0.35">
      <c r="A3" s="15"/>
      <c r="B3" s="78" t="s">
        <v>41</v>
      </c>
      <c r="C3" s="79"/>
      <c r="D3" s="80"/>
      <c r="E3" s="81" t="s">
        <v>42</v>
      </c>
      <c r="F3" s="81"/>
      <c r="G3" s="81"/>
      <c r="H3" s="82" t="s">
        <v>43</v>
      </c>
      <c r="I3" s="83"/>
      <c r="J3" s="84"/>
      <c r="K3" s="82" t="s">
        <v>44</v>
      </c>
      <c r="L3" s="83"/>
      <c r="M3" s="84"/>
      <c r="N3" s="82" t="s">
        <v>45</v>
      </c>
      <c r="O3" s="83"/>
      <c r="P3" s="84"/>
      <c r="Q3" s="76" t="s">
        <v>54</v>
      </c>
      <c r="R3" s="77"/>
    </row>
    <row r="4" spans="1:18" ht="16.8" thickTop="1" thickBot="1" x14ac:dyDescent="0.35">
      <c r="A4" s="3" t="s">
        <v>0</v>
      </c>
      <c r="B4" s="2" t="s">
        <v>51</v>
      </c>
      <c r="C4" s="2" t="s">
        <v>53</v>
      </c>
      <c r="D4" s="16" t="s">
        <v>52</v>
      </c>
      <c r="E4" s="2" t="s">
        <v>51</v>
      </c>
      <c r="F4" s="2" t="s">
        <v>53</v>
      </c>
      <c r="G4" s="10" t="s">
        <v>52</v>
      </c>
      <c r="H4" s="2" t="s">
        <v>51</v>
      </c>
      <c r="I4" s="2" t="s">
        <v>53</v>
      </c>
      <c r="J4" s="10" t="s">
        <v>52</v>
      </c>
      <c r="K4" s="2" t="s">
        <v>51</v>
      </c>
      <c r="L4" s="2" t="s">
        <v>53</v>
      </c>
      <c r="M4" s="10" t="s">
        <v>52</v>
      </c>
      <c r="N4" s="2" t="s">
        <v>51</v>
      </c>
      <c r="O4" s="2" t="s">
        <v>53</v>
      </c>
      <c r="P4" s="10" t="s">
        <v>52</v>
      </c>
      <c r="Q4" s="2" t="s">
        <v>51</v>
      </c>
      <c r="R4" s="16" t="s">
        <v>52</v>
      </c>
    </row>
    <row r="5" spans="1:18" ht="15" thickTop="1" x14ac:dyDescent="0.3">
      <c r="A5" s="38" t="s">
        <v>11</v>
      </c>
      <c r="B5" s="51">
        <v>105.4838</v>
      </c>
      <c r="C5" s="52">
        <v>1437.587</v>
      </c>
      <c r="D5" s="53">
        <f t="shared" ref="D5:D36" si="0">(B5*C5)/1000</f>
        <v>151.64213959060001</v>
      </c>
      <c r="E5" s="54">
        <v>6481.4830000000002</v>
      </c>
      <c r="F5" s="55">
        <v>1751.1120000000001</v>
      </c>
      <c r="G5" s="55">
        <f t="shared" ref="G5:G45" si="1">(E5*F5)/1000</f>
        <v>11349.802659096</v>
      </c>
      <c r="H5" s="54">
        <v>2654.7869999999998</v>
      </c>
      <c r="I5" s="55">
        <v>2400</v>
      </c>
      <c r="J5" s="55">
        <f t="shared" ref="J5:J53" si="2">(H5*I5)/1000</f>
        <v>6371.4888000000001</v>
      </c>
      <c r="K5" s="54">
        <v>0</v>
      </c>
      <c r="L5" s="54">
        <v>0</v>
      </c>
      <c r="M5" s="55">
        <f t="shared" ref="M5:M53" si="3">(K5*L5)/1000</f>
        <v>0</v>
      </c>
      <c r="N5" s="55">
        <v>0</v>
      </c>
      <c r="O5" s="55">
        <v>0</v>
      </c>
      <c r="P5" s="55">
        <f t="shared" ref="P5:P53" si="4">(N5*O5)/1000</f>
        <v>0</v>
      </c>
      <c r="Q5" s="55">
        <f>B5+E5+H5+N5+K5</f>
        <v>9241.7538000000004</v>
      </c>
      <c r="R5" s="56">
        <f>P5+M5+J5+G5+D5</f>
        <v>17872.933598686599</v>
      </c>
    </row>
    <row r="6" spans="1:18" x14ac:dyDescent="0.3">
      <c r="A6" s="39" t="s">
        <v>5</v>
      </c>
      <c r="B6" s="57">
        <v>39886.94</v>
      </c>
      <c r="C6" s="58">
        <v>789.72339999999997</v>
      </c>
      <c r="D6" s="59">
        <f t="shared" si="0"/>
        <v>31499.649872395999</v>
      </c>
      <c r="E6" s="60">
        <v>1211.2650000000001</v>
      </c>
      <c r="F6" s="61">
        <v>823</v>
      </c>
      <c r="G6" s="61">
        <f t="shared" si="1"/>
        <v>996.87109500000008</v>
      </c>
      <c r="H6" s="60">
        <v>0</v>
      </c>
      <c r="I6" s="61">
        <v>0</v>
      </c>
      <c r="J6" s="61">
        <f t="shared" si="2"/>
        <v>0</v>
      </c>
      <c r="K6" s="60">
        <v>0</v>
      </c>
      <c r="L6" s="60">
        <v>0</v>
      </c>
      <c r="M6" s="61">
        <f t="shared" si="3"/>
        <v>0</v>
      </c>
      <c r="N6" s="61">
        <v>0</v>
      </c>
      <c r="O6" s="61">
        <v>0</v>
      </c>
      <c r="P6" s="61">
        <f t="shared" si="4"/>
        <v>0</v>
      </c>
      <c r="Q6" s="61">
        <f t="shared" ref="Q6:Q46" si="5">B6+E6+H6+N6+K6</f>
        <v>41098.205000000002</v>
      </c>
      <c r="R6" s="62">
        <f t="shared" ref="R6:R46" si="6">P6+M6+J6+G6+D6</f>
        <v>32496.520967395998</v>
      </c>
    </row>
    <row r="7" spans="1:18" x14ac:dyDescent="0.3">
      <c r="A7" s="39" t="s">
        <v>2</v>
      </c>
      <c r="B7" s="57">
        <v>3822.41</v>
      </c>
      <c r="C7" s="58">
        <v>944.2713</v>
      </c>
      <c r="D7" s="59">
        <f t="shared" si="0"/>
        <v>3609.3920598330001</v>
      </c>
      <c r="E7" s="60">
        <v>1087.3910000000001</v>
      </c>
      <c r="F7" s="61">
        <v>1514</v>
      </c>
      <c r="G7" s="61">
        <f t="shared" si="1"/>
        <v>1646.3099740000002</v>
      </c>
      <c r="H7" s="60">
        <v>1925.144</v>
      </c>
      <c r="I7" s="61">
        <v>3050</v>
      </c>
      <c r="J7" s="61">
        <f t="shared" si="2"/>
        <v>5871.6891999999998</v>
      </c>
      <c r="K7" s="60">
        <v>20530.580000000002</v>
      </c>
      <c r="L7" s="60">
        <v>3240</v>
      </c>
      <c r="M7" s="61">
        <f t="shared" si="3"/>
        <v>66519.079200000007</v>
      </c>
      <c r="N7" s="61">
        <v>0</v>
      </c>
      <c r="O7" s="61">
        <v>0</v>
      </c>
      <c r="P7" s="61">
        <f t="shared" si="4"/>
        <v>0</v>
      </c>
      <c r="Q7" s="61">
        <f t="shared" si="5"/>
        <v>27365.525000000001</v>
      </c>
      <c r="R7" s="62">
        <f t="shared" si="6"/>
        <v>77646.470433833005</v>
      </c>
    </row>
    <row r="8" spans="1:18" x14ac:dyDescent="0.3">
      <c r="A8" s="39" t="s">
        <v>66</v>
      </c>
      <c r="B8" s="57">
        <v>23727.5</v>
      </c>
      <c r="C8" s="58">
        <v>974.97199999999998</v>
      </c>
      <c r="D8" s="59">
        <f t="shared" si="0"/>
        <v>23133.648129999998</v>
      </c>
      <c r="E8" s="60">
        <v>101.7367</v>
      </c>
      <c r="F8" s="63">
        <v>1312</v>
      </c>
      <c r="G8" s="61">
        <f t="shared" si="1"/>
        <v>133.47855040000002</v>
      </c>
      <c r="H8" s="64">
        <v>4198.0829999999996</v>
      </c>
      <c r="I8" s="63">
        <v>2002</v>
      </c>
      <c r="J8" s="61">
        <f t="shared" si="2"/>
        <v>8404.5621659999997</v>
      </c>
      <c r="K8" s="64">
        <v>324.01710000000003</v>
      </c>
      <c r="L8" s="61">
        <v>1000</v>
      </c>
      <c r="M8" s="61">
        <f t="shared" si="3"/>
        <v>324.01710000000003</v>
      </c>
      <c r="N8" s="61">
        <v>0</v>
      </c>
      <c r="O8" s="61">
        <v>0</v>
      </c>
      <c r="P8" s="61">
        <f t="shared" si="4"/>
        <v>0</v>
      </c>
      <c r="Q8" s="61">
        <f t="shared" si="5"/>
        <v>28351.336800000001</v>
      </c>
      <c r="R8" s="62">
        <f t="shared" si="6"/>
        <v>31995.705946399998</v>
      </c>
    </row>
    <row r="9" spans="1:18" ht="15.9" customHeight="1" x14ac:dyDescent="0.3">
      <c r="A9" s="39" t="s">
        <v>38</v>
      </c>
      <c r="B9" s="57">
        <v>22014.53</v>
      </c>
      <c r="C9" s="58">
        <v>1619.1</v>
      </c>
      <c r="D9" s="59">
        <f t="shared" si="0"/>
        <v>35643.725522999994</v>
      </c>
      <c r="E9" s="60">
        <v>146.41229999999999</v>
      </c>
      <c r="F9" s="61">
        <v>1750</v>
      </c>
      <c r="G9" s="61">
        <f t="shared" si="1"/>
        <v>256.22152499999999</v>
      </c>
      <c r="H9" s="60">
        <v>9173.6970000000001</v>
      </c>
      <c r="I9" s="61">
        <v>3549</v>
      </c>
      <c r="J9" s="61">
        <f t="shared" si="2"/>
        <v>32557.450653</v>
      </c>
      <c r="K9" s="60">
        <v>17200</v>
      </c>
      <c r="L9" s="60">
        <v>3140</v>
      </c>
      <c r="M9" s="61">
        <f t="shared" si="3"/>
        <v>54008</v>
      </c>
      <c r="N9" s="61">
        <v>0</v>
      </c>
      <c r="O9" s="61">
        <v>0</v>
      </c>
      <c r="P9" s="61">
        <f t="shared" si="4"/>
        <v>0</v>
      </c>
      <c r="Q9" s="61">
        <f t="shared" si="5"/>
        <v>48534.639299999995</v>
      </c>
      <c r="R9" s="62">
        <f t="shared" si="6"/>
        <v>122465.39770100001</v>
      </c>
    </row>
    <row r="10" spans="1:18" x14ac:dyDescent="0.3">
      <c r="A10" s="39" t="s">
        <v>8</v>
      </c>
      <c r="B10" s="57">
        <v>0</v>
      </c>
      <c r="C10" s="58">
        <v>0</v>
      </c>
      <c r="D10" s="59">
        <f t="shared" si="0"/>
        <v>0</v>
      </c>
      <c r="E10" s="60">
        <v>0</v>
      </c>
      <c r="F10" s="61">
        <v>0</v>
      </c>
      <c r="G10" s="61">
        <v>0</v>
      </c>
      <c r="H10" s="60">
        <v>0</v>
      </c>
      <c r="I10" s="61">
        <v>0</v>
      </c>
      <c r="J10" s="61">
        <f t="shared" si="2"/>
        <v>0</v>
      </c>
      <c r="K10" s="60">
        <v>9150.8189999999995</v>
      </c>
      <c r="L10" s="60">
        <v>3998.7080000000001</v>
      </c>
      <c r="M10" s="61">
        <f t="shared" si="3"/>
        <v>36591.453141851998</v>
      </c>
      <c r="N10" s="61">
        <v>0</v>
      </c>
      <c r="O10" s="61">
        <v>0</v>
      </c>
      <c r="P10" s="61">
        <f t="shared" si="4"/>
        <v>0</v>
      </c>
      <c r="Q10" s="61">
        <f t="shared" si="5"/>
        <v>9150.8189999999995</v>
      </c>
      <c r="R10" s="62">
        <f t="shared" si="6"/>
        <v>36591.453141851998</v>
      </c>
    </row>
    <row r="11" spans="1:18" x14ac:dyDescent="0.3">
      <c r="A11" s="39" t="s">
        <v>6</v>
      </c>
      <c r="B11" s="57">
        <v>24471.08</v>
      </c>
      <c r="C11" s="58">
        <v>791.57230000000004</v>
      </c>
      <c r="D11" s="59">
        <f t="shared" si="0"/>
        <v>19370.629079084003</v>
      </c>
      <c r="E11" s="60">
        <v>545.48649999999998</v>
      </c>
      <c r="F11" s="61">
        <v>684</v>
      </c>
      <c r="G11" s="61">
        <f t="shared" si="1"/>
        <v>373.11276600000002</v>
      </c>
      <c r="H11" s="60">
        <v>0</v>
      </c>
      <c r="I11" s="61">
        <v>0</v>
      </c>
      <c r="J11" s="61">
        <f t="shared" si="2"/>
        <v>0</v>
      </c>
      <c r="K11" s="60">
        <v>0</v>
      </c>
      <c r="L11" s="60">
        <v>0</v>
      </c>
      <c r="M11" s="61">
        <f t="shared" si="3"/>
        <v>0</v>
      </c>
      <c r="N11" s="61">
        <v>0</v>
      </c>
      <c r="O11" s="61">
        <v>0</v>
      </c>
      <c r="P11" s="61">
        <f t="shared" si="4"/>
        <v>0</v>
      </c>
      <c r="Q11" s="61">
        <f t="shared" si="5"/>
        <v>25016.566500000001</v>
      </c>
      <c r="R11" s="62">
        <f t="shared" si="6"/>
        <v>19743.741845084001</v>
      </c>
    </row>
    <row r="12" spans="1:18" x14ac:dyDescent="0.3">
      <c r="A12" s="39" t="s">
        <v>23</v>
      </c>
      <c r="B12" s="57">
        <v>50173.38</v>
      </c>
      <c r="C12" s="58">
        <v>944.91060000000004</v>
      </c>
      <c r="D12" s="59">
        <f t="shared" si="0"/>
        <v>47409.358599827996</v>
      </c>
      <c r="E12" s="60">
        <v>2300</v>
      </c>
      <c r="F12" s="61">
        <v>1213</v>
      </c>
      <c r="G12" s="61">
        <f t="shared" si="1"/>
        <v>2789.9</v>
      </c>
      <c r="H12" s="60">
        <v>236.47200000000001</v>
      </c>
      <c r="I12" s="61">
        <v>912</v>
      </c>
      <c r="J12" s="61">
        <f t="shared" si="2"/>
        <v>215.662464</v>
      </c>
      <c r="K12" s="60">
        <v>109.05549999999999</v>
      </c>
      <c r="L12" s="60">
        <v>2000</v>
      </c>
      <c r="M12" s="61">
        <f t="shared" si="3"/>
        <v>218.11099999999999</v>
      </c>
      <c r="N12" s="61">
        <v>0</v>
      </c>
      <c r="O12" s="61">
        <v>0</v>
      </c>
      <c r="P12" s="61">
        <f t="shared" si="4"/>
        <v>0</v>
      </c>
      <c r="Q12" s="61">
        <f t="shared" si="5"/>
        <v>52818.907500000001</v>
      </c>
      <c r="R12" s="62">
        <f t="shared" si="6"/>
        <v>50633.032063827995</v>
      </c>
    </row>
    <row r="13" spans="1:18" ht="15.6" customHeight="1" x14ac:dyDescent="0.3">
      <c r="A13" s="39" t="s">
        <v>24</v>
      </c>
      <c r="B13" s="57">
        <v>25570.5</v>
      </c>
      <c r="C13" s="58">
        <v>934.06179999999995</v>
      </c>
      <c r="D13" s="59">
        <f t="shared" si="0"/>
        <v>23884.427256899999</v>
      </c>
      <c r="E13" s="60">
        <v>1230</v>
      </c>
      <c r="F13" s="61">
        <v>1300</v>
      </c>
      <c r="G13" s="61">
        <f t="shared" si="1"/>
        <v>1599</v>
      </c>
      <c r="H13" s="60">
        <v>5525.7169999999996</v>
      </c>
      <c r="I13" s="61">
        <v>3750</v>
      </c>
      <c r="J13" s="61">
        <f t="shared" si="2"/>
        <v>20721.438750000001</v>
      </c>
      <c r="K13" s="60">
        <v>468.4633</v>
      </c>
      <c r="L13" s="60">
        <v>2843</v>
      </c>
      <c r="M13" s="61">
        <f t="shared" si="3"/>
        <v>1331.8411618999999</v>
      </c>
      <c r="N13" s="61">
        <v>0</v>
      </c>
      <c r="O13" s="61">
        <v>0</v>
      </c>
      <c r="P13" s="61">
        <f t="shared" si="4"/>
        <v>0</v>
      </c>
      <c r="Q13" s="61">
        <f t="shared" si="5"/>
        <v>32794.6803</v>
      </c>
      <c r="R13" s="62">
        <f t="shared" si="6"/>
        <v>47536.7071688</v>
      </c>
    </row>
    <row r="14" spans="1:18" x14ac:dyDescent="0.3">
      <c r="A14" s="39" t="s">
        <v>25</v>
      </c>
      <c r="B14" s="57">
        <v>24934.51</v>
      </c>
      <c r="C14" s="58">
        <v>920.11839999999995</v>
      </c>
      <c r="D14" s="59">
        <f t="shared" si="0"/>
        <v>22942.701445983999</v>
      </c>
      <c r="E14" s="60">
        <v>338.5111</v>
      </c>
      <c r="F14" s="61">
        <v>700</v>
      </c>
      <c r="G14" s="61">
        <f t="shared" si="1"/>
        <v>236.95776999999998</v>
      </c>
      <c r="H14" s="60">
        <v>141.66399999999999</v>
      </c>
      <c r="I14" s="61">
        <v>1023</v>
      </c>
      <c r="J14" s="61">
        <f t="shared" si="2"/>
        <v>144.92227199999999</v>
      </c>
      <c r="K14" s="60">
        <v>0</v>
      </c>
      <c r="L14" s="60">
        <v>0</v>
      </c>
      <c r="M14" s="61">
        <f t="shared" si="3"/>
        <v>0</v>
      </c>
      <c r="N14" s="61">
        <v>0</v>
      </c>
      <c r="O14" s="61">
        <v>0</v>
      </c>
      <c r="P14" s="61">
        <f t="shared" si="4"/>
        <v>0</v>
      </c>
      <c r="Q14" s="61">
        <f t="shared" si="5"/>
        <v>25414.685099999999</v>
      </c>
      <c r="R14" s="62">
        <f t="shared" si="6"/>
        <v>23324.581487984</v>
      </c>
    </row>
    <row r="15" spans="1:18" x14ac:dyDescent="0.3">
      <c r="A15" s="39" t="s">
        <v>12</v>
      </c>
      <c r="B15" s="57">
        <v>3499.739</v>
      </c>
      <c r="C15" s="58">
        <v>1028.451</v>
      </c>
      <c r="D15" s="59">
        <f t="shared" si="0"/>
        <v>3599.3100742890001</v>
      </c>
      <c r="E15" s="60">
        <v>3169.2249999999999</v>
      </c>
      <c r="F15" s="61">
        <v>1750</v>
      </c>
      <c r="G15" s="61">
        <f t="shared" si="1"/>
        <v>5546.1437500000002</v>
      </c>
      <c r="H15" s="60">
        <v>3566.0720000000001</v>
      </c>
      <c r="I15" s="61">
        <v>2324</v>
      </c>
      <c r="J15" s="61">
        <f t="shared" si="2"/>
        <v>8287.5513280000014</v>
      </c>
      <c r="K15" s="61">
        <v>1333</v>
      </c>
      <c r="L15" s="60">
        <v>1923</v>
      </c>
      <c r="M15" s="61">
        <f t="shared" si="3"/>
        <v>2563.3589999999999</v>
      </c>
      <c r="N15" s="61">
        <v>0</v>
      </c>
      <c r="O15" s="61">
        <v>0</v>
      </c>
      <c r="P15" s="61">
        <f t="shared" si="4"/>
        <v>0</v>
      </c>
      <c r="Q15" s="61">
        <f t="shared" si="5"/>
        <v>11568.036</v>
      </c>
      <c r="R15" s="62">
        <f t="shared" si="6"/>
        <v>19996.364152289003</v>
      </c>
    </row>
    <row r="16" spans="1:18" x14ac:dyDescent="0.3">
      <c r="A16" s="39" t="s">
        <v>39</v>
      </c>
      <c r="B16" s="57">
        <v>1389.63</v>
      </c>
      <c r="C16" s="58">
        <v>1577.1</v>
      </c>
      <c r="D16" s="59">
        <f t="shared" si="0"/>
        <v>2191.5854730000001</v>
      </c>
      <c r="E16" s="60">
        <v>264.762</v>
      </c>
      <c r="F16" s="61">
        <v>1750</v>
      </c>
      <c r="G16" s="61">
        <f t="shared" si="1"/>
        <v>463.33350000000002</v>
      </c>
      <c r="H16" s="60">
        <v>2410.998</v>
      </c>
      <c r="I16" s="61">
        <v>2765</v>
      </c>
      <c r="J16" s="61">
        <f t="shared" si="2"/>
        <v>6666.4094699999996</v>
      </c>
      <c r="K16" s="60">
        <v>16543.650000000001</v>
      </c>
      <c r="L16" s="60">
        <v>3249</v>
      </c>
      <c r="M16" s="61">
        <f t="shared" si="3"/>
        <v>53750.318850000003</v>
      </c>
      <c r="N16" s="65">
        <v>809</v>
      </c>
      <c r="O16" s="61">
        <v>1350</v>
      </c>
      <c r="P16" s="61">
        <f t="shared" si="4"/>
        <v>1092.1500000000001</v>
      </c>
      <c r="Q16" s="61">
        <f t="shared" si="5"/>
        <v>21418.04</v>
      </c>
      <c r="R16" s="62">
        <f t="shared" si="6"/>
        <v>64163.797293000003</v>
      </c>
    </row>
    <row r="17" spans="1:18" x14ac:dyDescent="0.3">
      <c r="A17" s="39" t="s">
        <v>14</v>
      </c>
      <c r="B17" s="57">
        <v>18579.14</v>
      </c>
      <c r="C17" s="58">
        <v>853.67570000000001</v>
      </c>
      <c r="D17" s="59">
        <f t="shared" si="0"/>
        <v>15860.560344898</v>
      </c>
      <c r="E17" s="60">
        <v>2536</v>
      </c>
      <c r="F17" s="61">
        <v>1153</v>
      </c>
      <c r="G17" s="61">
        <f t="shared" si="1"/>
        <v>2924.0079999999998</v>
      </c>
      <c r="H17" s="60">
        <v>394.85840000000002</v>
      </c>
      <c r="I17" s="61">
        <v>2015</v>
      </c>
      <c r="J17" s="61">
        <f t="shared" si="2"/>
        <v>795.63967600000001</v>
      </c>
      <c r="K17" s="61">
        <v>40</v>
      </c>
      <c r="L17" s="60">
        <v>1326</v>
      </c>
      <c r="M17" s="61">
        <f t="shared" si="3"/>
        <v>53.04</v>
      </c>
      <c r="N17" s="61">
        <v>0</v>
      </c>
      <c r="O17" s="61">
        <v>0</v>
      </c>
      <c r="P17" s="61">
        <f t="shared" si="4"/>
        <v>0</v>
      </c>
      <c r="Q17" s="61">
        <f t="shared" si="5"/>
        <v>21549.9984</v>
      </c>
      <c r="R17" s="62">
        <f t="shared" si="6"/>
        <v>19633.248020897998</v>
      </c>
    </row>
    <row r="18" spans="1:18" x14ac:dyDescent="0.3">
      <c r="A18" s="39" t="s">
        <v>32</v>
      </c>
      <c r="B18" s="57">
        <v>36691.919999999998</v>
      </c>
      <c r="C18" s="58">
        <v>1180.2</v>
      </c>
      <c r="D18" s="59">
        <f t="shared" si="0"/>
        <v>43303.803983999998</v>
      </c>
      <c r="E18" s="60">
        <v>1933.7460000000001</v>
      </c>
      <c r="F18" s="61">
        <v>1750</v>
      </c>
      <c r="G18" s="61">
        <f t="shared" si="1"/>
        <v>3384.0554999999999</v>
      </c>
      <c r="H18" s="60">
        <v>9702.3070000000007</v>
      </c>
      <c r="I18" s="61">
        <v>3450</v>
      </c>
      <c r="J18" s="61">
        <f t="shared" si="2"/>
        <v>33472.959150000002</v>
      </c>
      <c r="K18" s="60">
        <v>351.55509999999998</v>
      </c>
      <c r="L18" s="60">
        <v>1800</v>
      </c>
      <c r="M18" s="61">
        <f t="shared" si="3"/>
        <v>632.79917999999998</v>
      </c>
      <c r="N18" s="61">
        <v>0</v>
      </c>
      <c r="O18" s="61">
        <v>0</v>
      </c>
      <c r="P18" s="61">
        <f t="shared" si="4"/>
        <v>0</v>
      </c>
      <c r="Q18" s="61">
        <f t="shared" si="5"/>
        <v>48679.528099999996</v>
      </c>
      <c r="R18" s="62">
        <f t="shared" si="6"/>
        <v>80793.617813999997</v>
      </c>
    </row>
    <row r="19" spans="1:18" x14ac:dyDescent="0.3">
      <c r="A19" s="39" t="s">
        <v>29</v>
      </c>
      <c r="B19" s="57">
        <v>5443.1260000000002</v>
      </c>
      <c r="C19" s="58">
        <v>579.83309999999994</v>
      </c>
      <c r="D19" s="59">
        <f t="shared" si="0"/>
        <v>3156.1046222706</v>
      </c>
      <c r="E19" s="60">
        <v>12816.75</v>
      </c>
      <c r="F19" s="61">
        <v>756.9</v>
      </c>
      <c r="G19" s="61">
        <f t="shared" si="1"/>
        <v>9700.9980749999995</v>
      </c>
      <c r="H19" s="60">
        <v>1619.75</v>
      </c>
      <c r="I19" s="61">
        <v>1087</v>
      </c>
      <c r="J19" s="61">
        <f t="shared" si="2"/>
        <v>1760.6682499999999</v>
      </c>
      <c r="K19" s="60">
        <v>0</v>
      </c>
      <c r="L19" s="60">
        <v>0</v>
      </c>
      <c r="M19" s="61">
        <f t="shared" si="3"/>
        <v>0</v>
      </c>
      <c r="N19" s="61">
        <v>0</v>
      </c>
      <c r="O19" s="61">
        <v>0</v>
      </c>
      <c r="P19" s="61">
        <f t="shared" si="4"/>
        <v>0</v>
      </c>
      <c r="Q19" s="61">
        <f t="shared" si="5"/>
        <v>19879.626</v>
      </c>
      <c r="R19" s="62">
        <f t="shared" si="6"/>
        <v>14617.770947270601</v>
      </c>
    </row>
    <row r="20" spans="1:18" x14ac:dyDescent="0.3">
      <c r="A20" s="39" t="s">
        <v>15</v>
      </c>
      <c r="B20" s="57">
        <v>28312.05</v>
      </c>
      <c r="C20" s="58">
        <v>1267.3499999999999</v>
      </c>
      <c r="D20" s="59">
        <f t="shared" si="0"/>
        <v>35881.276567499997</v>
      </c>
      <c r="E20" s="60">
        <v>418.36410000000001</v>
      </c>
      <c r="F20" s="61">
        <v>1162</v>
      </c>
      <c r="G20" s="61">
        <f t="shared" si="1"/>
        <v>486.13908419999996</v>
      </c>
      <c r="H20" s="60">
        <v>6296.6540000000005</v>
      </c>
      <c r="I20" s="61">
        <v>2350</v>
      </c>
      <c r="J20" s="61">
        <f t="shared" si="2"/>
        <v>14797.1369</v>
      </c>
      <c r="K20" s="60">
        <v>1401.047</v>
      </c>
      <c r="L20" s="60">
        <v>2640</v>
      </c>
      <c r="M20" s="61">
        <f t="shared" si="3"/>
        <v>3698.7640799999999</v>
      </c>
      <c r="N20" s="61">
        <v>0</v>
      </c>
      <c r="O20" s="61">
        <v>0</v>
      </c>
      <c r="P20" s="61">
        <f t="shared" si="4"/>
        <v>0</v>
      </c>
      <c r="Q20" s="61">
        <f t="shared" si="5"/>
        <v>36428.115099999995</v>
      </c>
      <c r="R20" s="62">
        <f t="shared" si="6"/>
        <v>54863.3166317</v>
      </c>
    </row>
    <row r="21" spans="1:18" x14ac:dyDescent="0.3">
      <c r="A21" s="39" t="s">
        <v>20</v>
      </c>
      <c r="B21" s="57">
        <v>7630.4589999999998</v>
      </c>
      <c r="C21" s="58">
        <v>789.53110000000004</v>
      </c>
      <c r="D21" s="59">
        <f t="shared" si="0"/>
        <v>6024.4846877749005</v>
      </c>
      <c r="E21" s="60">
        <v>0</v>
      </c>
      <c r="F21" s="61">
        <v>0</v>
      </c>
      <c r="G21" s="60">
        <v>0</v>
      </c>
      <c r="H21" s="60">
        <v>0</v>
      </c>
      <c r="I21" s="61">
        <v>0</v>
      </c>
      <c r="J21" s="61">
        <f t="shared" si="2"/>
        <v>0</v>
      </c>
      <c r="K21" s="60">
        <v>0</v>
      </c>
      <c r="L21" s="60">
        <v>0</v>
      </c>
      <c r="M21" s="61">
        <f t="shared" si="3"/>
        <v>0</v>
      </c>
      <c r="N21" s="61">
        <v>0</v>
      </c>
      <c r="O21" s="61">
        <v>0</v>
      </c>
      <c r="P21" s="61">
        <f t="shared" si="4"/>
        <v>0</v>
      </c>
      <c r="Q21" s="61">
        <f t="shared" si="5"/>
        <v>7630.4589999999998</v>
      </c>
      <c r="R21" s="62">
        <f t="shared" si="6"/>
        <v>6024.4846877749005</v>
      </c>
    </row>
    <row r="22" spans="1:18" x14ac:dyDescent="0.3">
      <c r="A22" s="39" t="s">
        <v>35</v>
      </c>
      <c r="B22" s="57">
        <v>0</v>
      </c>
      <c r="C22" s="58">
        <v>0</v>
      </c>
      <c r="D22" s="59">
        <f t="shared" si="0"/>
        <v>0</v>
      </c>
      <c r="E22" s="60">
        <v>90.313890000000001</v>
      </c>
      <c r="F22" s="61">
        <v>2650</v>
      </c>
      <c r="G22" s="61">
        <f t="shared" si="1"/>
        <v>239.33180850000002</v>
      </c>
      <c r="H22" s="60">
        <v>3311.0880000000002</v>
      </c>
      <c r="I22" s="61">
        <v>3868</v>
      </c>
      <c r="J22" s="61">
        <f t="shared" si="2"/>
        <v>12807.288384000001</v>
      </c>
      <c r="K22" s="60">
        <v>1125</v>
      </c>
      <c r="L22" s="60">
        <v>3440</v>
      </c>
      <c r="M22" s="61">
        <f t="shared" si="3"/>
        <v>3870</v>
      </c>
      <c r="N22" s="65">
        <v>1732</v>
      </c>
      <c r="O22" s="61">
        <v>800</v>
      </c>
      <c r="P22" s="61">
        <f t="shared" si="4"/>
        <v>1385.6</v>
      </c>
      <c r="Q22" s="61">
        <f t="shared" si="5"/>
        <v>6258.4018900000001</v>
      </c>
      <c r="R22" s="62">
        <f t="shared" si="6"/>
        <v>18302.220192500001</v>
      </c>
    </row>
    <row r="23" spans="1:18" x14ac:dyDescent="0.3">
      <c r="A23" s="39" t="s">
        <v>26</v>
      </c>
      <c r="B23" s="57">
        <v>5169.4390000000003</v>
      </c>
      <c r="C23" s="58">
        <v>1587.6</v>
      </c>
      <c r="D23" s="59">
        <f t="shared" si="0"/>
        <v>8207.0013564000001</v>
      </c>
      <c r="E23" s="60">
        <v>6742.5940000000001</v>
      </c>
      <c r="F23" s="61">
        <v>1750</v>
      </c>
      <c r="G23" s="61">
        <f t="shared" si="1"/>
        <v>11799.539500000001</v>
      </c>
      <c r="H23" s="60">
        <v>13890.25</v>
      </c>
      <c r="I23" s="61">
        <v>3588</v>
      </c>
      <c r="J23" s="61">
        <f t="shared" si="2"/>
        <v>49838.216999999997</v>
      </c>
      <c r="K23" s="60">
        <v>39967</v>
      </c>
      <c r="L23" s="60">
        <v>3540</v>
      </c>
      <c r="M23" s="61">
        <f t="shared" si="3"/>
        <v>141483.18</v>
      </c>
      <c r="N23" s="66">
        <v>164</v>
      </c>
      <c r="O23" s="61">
        <v>800</v>
      </c>
      <c r="P23" s="61">
        <f t="shared" si="4"/>
        <v>131.19999999999999</v>
      </c>
      <c r="Q23" s="61">
        <f t="shared" si="5"/>
        <v>65933.282999999996</v>
      </c>
      <c r="R23" s="62">
        <f t="shared" si="6"/>
        <v>211459.13785640002</v>
      </c>
    </row>
    <row r="24" spans="1:18" x14ac:dyDescent="0.3">
      <c r="A24" s="39" t="s">
        <v>33</v>
      </c>
      <c r="B24" s="57">
        <v>43261.17</v>
      </c>
      <c r="C24" s="58">
        <v>962.04070000000002</v>
      </c>
      <c r="D24" s="59">
        <f t="shared" si="0"/>
        <v>41619.006269618993</v>
      </c>
      <c r="E24" s="60">
        <v>7666.6409999999996</v>
      </c>
      <c r="F24" s="61">
        <v>1750</v>
      </c>
      <c r="G24" s="61">
        <f t="shared" si="1"/>
        <v>13416.62175</v>
      </c>
      <c r="H24" s="60">
        <v>10979.5</v>
      </c>
      <c r="I24" s="61">
        <v>3541</v>
      </c>
      <c r="J24" s="61">
        <f t="shared" si="2"/>
        <v>38878.409500000002</v>
      </c>
      <c r="K24" s="60">
        <v>184.58539999999999</v>
      </c>
      <c r="L24" s="60">
        <v>2000</v>
      </c>
      <c r="M24" s="61">
        <f t="shared" si="3"/>
        <v>369.17079999999999</v>
      </c>
      <c r="N24" s="61">
        <v>0</v>
      </c>
      <c r="O24" s="61">
        <v>0</v>
      </c>
      <c r="P24" s="61">
        <f t="shared" si="4"/>
        <v>0</v>
      </c>
      <c r="Q24" s="61">
        <f t="shared" si="5"/>
        <v>62091.896400000005</v>
      </c>
      <c r="R24" s="62">
        <f t="shared" si="6"/>
        <v>94283.208319618992</v>
      </c>
    </row>
    <row r="25" spans="1:18" x14ac:dyDescent="0.3">
      <c r="A25" s="39" t="s">
        <v>61</v>
      </c>
      <c r="B25" s="57">
        <v>31313.439999999999</v>
      </c>
      <c r="C25" s="58">
        <v>1291.28</v>
      </c>
      <c r="D25" s="59">
        <f t="shared" si="0"/>
        <v>40434.418803200002</v>
      </c>
      <c r="E25" s="60">
        <v>4000.739</v>
      </c>
      <c r="F25" s="61">
        <v>1750</v>
      </c>
      <c r="G25" s="61">
        <f t="shared" si="1"/>
        <v>7001.2932499999997</v>
      </c>
      <c r="H25" s="60">
        <v>5194.6040000000003</v>
      </c>
      <c r="I25" s="61">
        <v>2600</v>
      </c>
      <c r="J25" s="61">
        <f t="shared" si="2"/>
        <v>13505.9704</v>
      </c>
      <c r="K25" s="61">
        <v>2450</v>
      </c>
      <c r="L25" s="60">
        <v>2540</v>
      </c>
      <c r="M25" s="61">
        <f t="shared" si="3"/>
        <v>6223</v>
      </c>
      <c r="N25" s="61">
        <v>0</v>
      </c>
      <c r="O25" s="61">
        <v>0</v>
      </c>
      <c r="P25" s="61">
        <f t="shared" si="4"/>
        <v>0</v>
      </c>
      <c r="Q25" s="61">
        <f t="shared" si="5"/>
        <v>42958.782999999996</v>
      </c>
      <c r="R25" s="62">
        <f t="shared" si="6"/>
        <v>67164.682453200003</v>
      </c>
    </row>
    <row r="26" spans="1:18" x14ac:dyDescent="0.3">
      <c r="A26" s="39" t="s">
        <v>21</v>
      </c>
      <c r="B26" s="57">
        <v>9708.8649999999998</v>
      </c>
      <c r="C26" s="58">
        <v>788.0489</v>
      </c>
      <c r="D26" s="59">
        <f t="shared" si="0"/>
        <v>7651.0603834985004</v>
      </c>
      <c r="E26" s="60">
        <v>738.71659999999997</v>
      </c>
      <c r="F26" s="61">
        <v>545</v>
      </c>
      <c r="G26" s="61">
        <f t="shared" si="1"/>
        <v>402.60054699999995</v>
      </c>
      <c r="H26" s="60">
        <v>5159.4939999999997</v>
      </c>
      <c r="I26" s="61">
        <v>645</v>
      </c>
      <c r="J26" s="61">
        <f t="shared" si="2"/>
        <v>3327.87363</v>
      </c>
      <c r="K26" s="60">
        <v>0</v>
      </c>
      <c r="L26" s="60">
        <v>0</v>
      </c>
      <c r="M26" s="61">
        <f t="shared" si="3"/>
        <v>0</v>
      </c>
      <c r="N26" s="61">
        <v>0</v>
      </c>
      <c r="O26" s="61">
        <v>0</v>
      </c>
      <c r="P26" s="61">
        <f t="shared" si="4"/>
        <v>0</v>
      </c>
      <c r="Q26" s="61">
        <f t="shared" si="5"/>
        <v>15607.0756</v>
      </c>
      <c r="R26" s="62">
        <f t="shared" si="6"/>
        <v>11381.534560498501</v>
      </c>
    </row>
    <row r="27" spans="1:18" x14ac:dyDescent="0.3">
      <c r="A27" s="39" t="s">
        <v>22</v>
      </c>
      <c r="B27" s="57">
        <v>7937</v>
      </c>
      <c r="C27" s="58">
        <v>830</v>
      </c>
      <c r="D27" s="59">
        <f t="shared" si="0"/>
        <v>6587.71</v>
      </c>
      <c r="E27" s="60">
        <v>0</v>
      </c>
      <c r="F27" s="61">
        <v>0</v>
      </c>
      <c r="G27" s="60">
        <v>0</v>
      </c>
      <c r="H27" s="60">
        <v>0</v>
      </c>
      <c r="I27" s="61">
        <v>0</v>
      </c>
      <c r="J27" s="61">
        <f t="shared" si="2"/>
        <v>0</v>
      </c>
      <c r="K27" s="60">
        <v>0</v>
      </c>
      <c r="L27" s="60">
        <v>0</v>
      </c>
      <c r="M27" s="61">
        <f t="shared" si="3"/>
        <v>0</v>
      </c>
      <c r="N27" s="61">
        <v>0</v>
      </c>
      <c r="O27" s="61">
        <v>0</v>
      </c>
      <c r="P27" s="61">
        <f t="shared" si="4"/>
        <v>0</v>
      </c>
      <c r="Q27" s="61">
        <f t="shared" si="5"/>
        <v>7937</v>
      </c>
      <c r="R27" s="62">
        <f t="shared" si="6"/>
        <v>6587.71</v>
      </c>
    </row>
    <row r="28" spans="1:18" x14ac:dyDescent="0.3">
      <c r="A28" s="39" t="s">
        <v>34</v>
      </c>
      <c r="B28" s="57">
        <v>23081.37</v>
      </c>
      <c r="C28" s="58">
        <v>935.63699999999994</v>
      </c>
      <c r="D28" s="59">
        <f t="shared" si="0"/>
        <v>21595.783782689996</v>
      </c>
      <c r="E28" s="60">
        <v>2646.4369999999999</v>
      </c>
      <c r="F28" s="61">
        <v>1750</v>
      </c>
      <c r="G28" s="61">
        <f t="shared" si="1"/>
        <v>4631.2647500000003</v>
      </c>
      <c r="H28" s="60">
        <v>4545.2330000000002</v>
      </c>
      <c r="I28" s="61">
        <v>3012</v>
      </c>
      <c r="J28" s="61">
        <f t="shared" si="2"/>
        <v>13690.241796</v>
      </c>
      <c r="K28" s="60">
        <v>0</v>
      </c>
      <c r="L28" s="60">
        <v>0</v>
      </c>
      <c r="M28" s="61">
        <f t="shared" si="3"/>
        <v>0</v>
      </c>
      <c r="N28" s="61">
        <v>0</v>
      </c>
      <c r="O28" s="61">
        <v>0</v>
      </c>
      <c r="P28" s="61">
        <f t="shared" si="4"/>
        <v>0</v>
      </c>
      <c r="Q28" s="61">
        <f t="shared" si="5"/>
        <v>30273.040000000001</v>
      </c>
      <c r="R28" s="62">
        <f t="shared" si="6"/>
        <v>39917.290328689996</v>
      </c>
    </row>
    <row r="29" spans="1:18" x14ac:dyDescent="0.3">
      <c r="A29" s="39" t="s">
        <v>30</v>
      </c>
      <c r="B29" s="57">
        <v>2331.1770000000001</v>
      </c>
      <c r="C29" s="58">
        <v>579.14769999999999</v>
      </c>
      <c r="D29" s="59">
        <f t="shared" si="0"/>
        <v>1350.0957978429001</v>
      </c>
      <c r="E29" s="60">
        <v>4570.3940000000002</v>
      </c>
      <c r="F29" s="61">
        <v>392</v>
      </c>
      <c r="G29" s="61">
        <f t="shared" si="1"/>
        <v>1791.5944480000001</v>
      </c>
      <c r="H29" s="60">
        <v>157.1995</v>
      </c>
      <c r="I29" s="61">
        <v>904</v>
      </c>
      <c r="J29" s="61">
        <f t="shared" si="2"/>
        <v>142.10834800000001</v>
      </c>
      <c r="K29" s="60">
        <v>0</v>
      </c>
      <c r="L29" s="60">
        <v>0</v>
      </c>
      <c r="M29" s="61">
        <f t="shared" si="3"/>
        <v>0</v>
      </c>
      <c r="N29" s="61">
        <v>0</v>
      </c>
      <c r="O29" s="61">
        <v>0</v>
      </c>
      <c r="P29" s="61">
        <f t="shared" si="4"/>
        <v>0</v>
      </c>
      <c r="Q29" s="61">
        <f t="shared" si="5"/>
        <v>7058.7704999999996</v>
      </c>
      <c r="R29" s="62">
        <f t="shared" si="6"/>
        <v>3283.7985938429001</v>
      </c>
    </row>
    <row r="30" spans="1:18" x14ac:dyDescent="0.3">
      <c r="A30" s="39" t="s">
        <v>7</v>
      </c>
      <c r="B30" s="57">
        <v>36947.440000000002</v>
      </c>
      <c r="C30" s="58">
        <v>794.41660000000002</v>
      </c>
      <c r="D30" s="59">
        <f t="shared" si="0"/>
        <v>29351.659663504</v>
      </c>
      <c r="E30" s="60">
        <v>284.5412</v>
      </c>
      <c r="F30" s="61">
        <v>923</v>
      </c>
      <c r="G30" s="61">
        <f t="shared" si="1"/>
        <v>262.63152760000003</v>
      </c>
      <c r="H30" s="60">
        <v>399.26609999999999</v>
      </c>
      <c r="I30" s="61">
        <v>800</v>
      </c>
      <c r="J30" s="61">
        <f t="shared" si="2"/>
        <v>319.41288000000003</v>
      </c>
      <c r="K30" s="60">
        <v>0</v>
      </c>
      <c r="L30" s="60">
        <v>0</v>
      </c>
      <c r="M30" s="61">
        <f t="shared" si="3"/>
        <v>0</v>
      </c>
      <c r="N30" s="61">
        <v>0</v>
      </c>
      <c r="O30" s="61">
        <v>0</v>
      </c>
      <c r="P30" s="61">
        <f t="shared" si="4"/>
        <v>0</v>
      </c>
      <c r="Q30" s="61">
        <f t="shared" si="5"/>
        <v>37631.247300000003</v>
      </c>
      <c r="R30" s="62">
        <f t="shared" si="6"/>
        <v>29933.704071103999</v>
      </c>
    </row>
    <row r="31" spans="1:18" x14ac:dyDescent="0.3">
      <c r="A31" s="39" t="s">
        <v>17</v>
      </c>
      <c r="B31" s="57">
        <v>17384.080000000002</v>
      </c>
      <c r="C31" s="58">
        <v>926.67899999999997</v>
      </c>
      <c r="D31" s="59">
        <f t="shared" si="0"/>
        <v>16109.461870320001</v>
      </c>
      <c r="E31" s="60">
        <v>5193.4520000000002</v>
      </c>
      <c r="F31" s="61">
        <v>886.81119999999999</v>
      </c>
      <c r="G31" s="61">
        <f t="shared" si="1"/>
        <v>4605.6114002624008</v>
      </c>
      <c r="H31" s="60">
        <v>165.42160000000001</v>
      </c>
      <c r="I31" s="61">
        <v>1234</v>
      </c>
      <c r="J31" s="61">
        <f t="shared" si="2"/>
        <v>204.13025440000001</v>
      </c>
      <c r="K31" s="60">
        <v>26</v>
      </c>
      <c r="L31" s="60">
        <v>1312</v>
      </c>
      <c r="M31" s="61">
        <f t="shared" si="3"/>
        <v>34.112000000000002</v>
      </c>
      <c r="N31" s="61">
        <v>0</v>
      </c>
      <c r="O31" s="61">
        <v>0</v>
      </c>
      <c r="P31" s="61">
        <f t="shared" si="4"/>
        <v>0</v>
      </c>
      <c r="Q31" s="61">
        <f t="shared" si="5"/>
        <v>22768.953600000004</v>
      </c>
      <c r="R31" s="62">
        <f t="shared" si="6"/>
        <v>20953.315524982401</v>
      </c>
    </row>
    <row r="32" spans="1:18" x14ac:dyDescent="0.3">
      <c r="A32" s="39" t="s">
        <v>27</v>
      </c>
      <c r="B32" s="57">
        <v>30835.87</v>
      </c>
      <c r="C32" s="58">
        <v>1587.6</v>
      </c>
      <c r="D32" s="59">
        <f t="shared" si="0"/>
        <v>48955.027212000001</v>
      </c>
      <c r="E32" s="60">
        <v>7878.1729999999998</v>
      </c>
      <c r="F32" s="61">
        <v>1750</v>
      </c>
      <c r="G32" s="61">
        <f t="shared" si="1"/>
        <v>13786.802750000001</v>
      </c>
      <c r="H32" s="60">
        <v>16307.56</v>
      </c>
      <c r="I32" s="61">
        <v>3023</v>
      </c>
      <c r="J32" s="61">
        <f t="shared" si="2"/>
        <v>49297.753879999997</v>
      </c>
      <c r="K32" s="60">
        <v>20873</v>
      </c>
      <c r="L32" s="60">
        <v>3104</v>
      </c>
      <c r="M32" s="61">
        <f t="shared" si="3"/>
        <v>64789.792000000001</v>
      </c>
      <c r="N32" s="61">
        <v>0</v>
      </c>
      <c r="O32" s="61">
        <v>0</v>
      </c>
      <c r="P32" s="61">
        <f t="shared" si="4"/>
        <v>0</v>
      </c>
      <c r="Q32" s="61">
        <f t="shared" si="5"/>
        <v>75894.603000000003</v>
      </c>
      <c r="R32" s="62">
        <f t="shared" si="6"/>
        <v>176829.37584200001</v>
      </c>
    </row>
    <row r="33" spans="1:18" x14ac:dyDescent="0.3">
      <c r="A33" s="39" t="s">
        <v>16</v>
      </c>
      <c r="B33" s="57">
        <v>50556.35</v>
      </c>
      <c r="C33" s="58">
        <v>1260</v>
      </c>
      <c r="D33" s="59">
        <f t="shared" si="0"/>
        <v>63701.000999999997</v>
      </c>
      <c r="E33" s="60">
        <v>2560</v>
      </c>
      <c r="F33" s="61">
        <v>1712</v>
      </c>
      <c r="G33" s="61">
        <f t="shared" si="1"/>
        <v>4382.72</v>
      </c>
      <c r="H33" s="60">
        <v>12948.83</v>
      </c>
      <c r="I33" s="61">
        <v>3600</v>
      </c>
      <c r="J33" s="61">
        <f t="shared" si="2"/>
        <v>46615.788</v>
      </c>
      <c r="K33" s="60">
        <v>216.73580000000001</v>
      </c>
      <c r="L33" s="60">
        <v>2579</v>
      </c>
      <c r="M33" s="61">
        <f t="shared" si="3"/>
        <v>558.96162820000006</v>
      </c>
      <c r="N33" s="61">
        <v>0</v>
      </c>
      <c r="O33" s="61">
        <v>0</v>
      </c>
      <c r="P33" s="61">
        <f t="shared" si="4"/>
        <v>0</v>
      </c>
      <c r="Q33" s="61">
        <f t="shared" si="5"/>
        <v>66281.915799999988</v>
      </c>
      <c r="R33" s="62">
        <f t="shared" si="6"/>
        <v>115258.4706282</v>
      </c>
    </row>
    <row r="34" spans="1:18" x14ac:dyDescent="0.3">
      <c r="A34" s="39" t="s">
        <v>3</v>
      </c>
      <c r="B34" s="57">
        <v>0</v>
      </c>
      <c r="C34" s="58">
        <v>0</v>
      </c>
      <c r="D34" s="59">
        <f t="shared" si="0"/>
        <v>0</v>
      </c>
      <c r="E34" s="60">
        <v>0</v>
      </c>
      <c r="F34" s="61">
        <v>0</v>
      </c>
      <c r="G34" s="61">
        <v>0</v>
      </c>
      <c r="H34" s="60">
        <v>19.34807</v>
      </c>
      <c r="I34" s="61">
        <v>1512</v>
      </c>
      <c r="J34" s="61">
        <f t="shared" si="2"/>
        <v>29.254281840000001</v>
      </c>
      <c r="K34" s="60">
        <v>7766.3909999999996</v>
      </c>
      <c r="L34" s="60">
        <v>3993.3330000000001</v>
      </c>
      <c r="M34" s="61">
        <f t="shared" si="3"/>
        <v>31013.785471202998</v>
      </c>
      <c r="N34" s="61">
        <v>0</v>
      </c>
      <c r="O34" s="61">
        <v>0</v>
      </c>
      <c r="P34" s="61">
        <f t="shared" si="4"/>
        <v>0</v>
      </c>
      <c r="Q34" s="61">
        <f t="shared" si="5"/>
        <v>7785.7390699999996</v>
      </c>
      <c r="R34" s="62">
        <f t="shared" si="6"/>
        <v>31043.039753042998</v>
      </c>
    </row>
    <row r="35" spans="1:18" x14ac:dyDescent="0.3">
      <c r="A35" s="39" t="s">
        <v>9</v>
      </c>
      <c r="B35" s="57">
        <v>4073.7669999999998</v>
      </c>
      <c r="C35" s="58">
        <v>750</v>
      </c>
      <c r="D35" s="59">
        <f t="shared" si="0"/>
        <v>3055.3252499999999</v>
      </c>
      <c r="E35" s="60">
        <v>0</v>
      </c>
      <c r="F35" s="61">
        <v>0</v>
      </c>
      <c r="G35" s="61">
        <v>0</v>
      </c>
      <c r="H35" s="60">
        <v>1252</v>
      </c>
      <c r="I35" s="61">
        <v>3514</v>
      </c>
      <c r="J35" s="61">
        <f t="shared" si="2"/>
        <v>4399.5280000000002</v>
      </c>
      <c r="K35" s="60">
        <v>0</v>
      </c>
      <c r="L35" s="60">
        <v>0</v>
      </c>
      <c r="M35" s="61">
        <f t="shared" si="3"/>
        <v>0</v>
      </c>
      <c r="N35" s="61">
        <v>0</v>
      </c>
      <c r="O35" s="61">
        <v>0</v>
      </c>
      <c r="P35" s="61">
        <f t="shared" si="4"/>
        <v>0</v>
      </c>
      <c r="Q35" s="61">
        <f t="shared" si="5"/>
        <v>5325.7669999999998</v>
      </c>
      <c r="R35" s="62">
        <f t="shared" si="6"/>
        <v>7454.8532500000001</v>
      </c>
    </row>
    <row r="36" spans="1:18" x14ac:dyDescent="0.3">
      <c r="A36" s="39" t="s">
        <v>31</v>
      </c>
      <c r="B36" s="57">
        <v>10340</v>
      </c>
      <c r="C36" s="58">
        <v>947.1</v>
      </c>
      <c r="D36" s="59">
        <f t="shared" si="0"/>
        <v>9793.0139999999992</v>
      </c>
      <c r="E36" s="60">
        <v>1549.6769999999999</v>
      </c>
      <c r="F36" s="61">
        <v>2000</v>
      </c>
      <c r="G36" s="61">
        <f>(E36*F36)/1000</f>
        <v>3099.3539999999998</v>
      </c>
      <c r="H36" s="60">
        <v>2806.027</v>
      </c>
      <c r="I36" s="61">
        <v>812</v>
      </c>
      <c r="J36" s="61">
        <f t="shared" si="2"/>
        <v>2278.4939240000003</v>
      </c>
      <c r="K36" s="60">
        <v>0</v>
      </c>
      <c r="L36" s="60">
        <v>0</v>
      </c>
      <c r="M36" s="61">
        <f t="shared" si="3"/>
        <v>0</v>
      </c>
      <c r="N36" s="61">
        <v>0</v>
      </c>
      <c r="O36" s="61">
        <v>0</v>
      </c>
      <c r="P36" s="61">
        <f t="shared" si="4"/>
        <v>0</v>
      </c>
      <c r="Q36" s="61">
        <f t="shared" si="5"/>
        <v>14695.704</v>
      </c>
      <c r="R36" s="62">
        <f t="shared" si="6"/>
        <v>15170.861923999999</v>
      </c>
    </row>
    <row r="37" spans="1:18" x14ac:dyDescent="0.3">
      <c r="A37" s="39" t="s">
        <v>1</v>
      </c>
      <c r="B37" s="57">
        <v>0</v>
      </c>
      <c r="C37" s="58">
        <v>0</v>
      </c>
      <c r="D37" s="59">
        <f t="shared" ref="D37:D53" si="7">(B37*C37)/1000</f>
        <v>0</v>
      </c>
      <c r="E37" s="60">
        <v>0</v>
      </c>
      <c r="F37" s="61">
        <v>0</v>
      </c>
      <c r="G37" s="61">
        <v>0</v>
      </c>
      <c r="H37" s="60">
        <v>0</v>
      </c>
      <c r="I37" s="61">
        <v>0</v>
      </c>
      <c r="J37" s="61">
        <f t="shared" si="2"/>
        <v>0</v>
      </c>
      <c r="K37" s="60">
        <v>0</v>
      </c>
      <c r="L37" s="60">
        <v>0</v>
      </c>
      <c r="M37" s="61">
        <f t="shared" si="3"/>
        <v>0</v>
      </c>
      <c r="N37" s="61">
        <v>0</v>
      </c>
      <c r="O37" s="61">
        <v>0</v>
      </c>
      <c r="P37" s="61">
        <f t="shared" si="4"/>
        <v>0</v>
      </c>
      <c r="Q37" s="61">
        <f t="shared" si="5"/>
        <v>0</v>
      </c>
      <c r="R37" s="62">
        <f t="shared" si="6"/>
        <v>0</v>
      </c>
    </row>
    <row r="38" spans="1:18" x14ac:dyDescent="0.3">
      <c r="A38" s="39" t="s">
        <v>10</v>
      </c>
      <c r="B38" s="57">
        <v>637</v>
      </c>
      <c r="C38" s="58">
        <v>600</v>
      </c>
      <c r="D38" s="59">
        <f t="shared" si="7"/>
        <v>382.2</v>
      </c>
      <c r="E38" s="60">
        <v>0</v>
      </c>
      <c r="F38" s="61">
        <v>0</v>
      </c>
      <c r="G38" s="61">
        <v>0</v>
      </c>
      <c r="H38" s="60">
        <v>0</v>
      </c>
      <c r="I38" s="61">
        <v>0</v>
      </c>
      <c r="J38" s="61">
        <f t="shared" si="2"/>
        <v>0</v>
      </c>
      <c r="K38" s="60">
        <v>0</v>
      </c>
      <c r="L38" s="60">
        <v>0</v>
      </c>
      <c r="M38" s="61">
        <f t="shared" si="3"/>
        <v>0</v>
      </c>
      <c r="N38" s="61">
        <v>0</v>
      </c>
      <c r="O38" s="61">
        <v>0</v>
      </c>
      <c r="P38" s="61">
        <f t="shared" si="4"/>
        <v>0</v>
      </c>
      <c r="Q38" s="61">
        <f t="shared" si="5"/>
        <v>637</v>
      </c>
      <c r="R38" s="62">
        <f t="shared" si="6"/>
        <v>382.2</v>
      </c>
    </row>
    <row r="39" spans="1:18" x14ac:dyDescent="0.3">
      <c r="A39" s="39" t="s">
        <v>36</v>
      </c>
      <c r="B39" s="57">
        <v>0</v>
      </c>
      <c r="C39" s="58">
        <v>0</v>
      </c>
      <c r="D39" s="59">
        <f t="shared" si="7"/>
        <v>0</v>
      </c>
      <c r="E39" s="60">
        <v>292.75689999999997</v>
      </c>
      <c r="F39" s="61">
        <v>2100</v>
      </c>
      <c r="G39" s="61">
        <f t="shared" si="1"/>
        <v>614.78949</v>
      </c>
      <c r="H39" s="60">
        <v>2221.9430000000002</v>
      </c>
      <c r="I39" s="61">
        <v>3301</v>
      </c>
      <c r="J39" s="61">
        <f t="shared" si="2"/>
        <v>7334.6338430000005</v>
      </c>
      <c r="K39" s="60">
        <v>347</v>
      </c>
      <c r="L39" s="60">
        <v>3279</v>
      </c>
      <c r="M39" s="61">
        <f t="shared" si="3"/>
        <v>1137.8130000000001</v>
      </c>
      <c r="N39" s="65">
        <v>550</v>
      </c>
      <c r="O39" s="61">
        <v>700</v>
      </c>
      <c r="P39" s="61">
        <f t="shared" si="4"/>
        <v>385</v>
      </c>
      <c r="Q39" s="61">
        <f t="shared" si="5"/>
        <v>3411.6999000000001</v>
      </c>
      <c r="R39" s="62">
        <f t="shared" si="6"/>
        <v>9472.2363330000007</v>
      </c>
    </row>
    <row r="40" spans="1:18" x14ac:dyDescent="0.3">
      <c r="A40" s="39" t="s">
        <v>37</v>
      </c>
      <c r="B40" s="57">
        <v>14.968019999999999</v>
      </c>
      <c r="C40" s="58">
        <v>998</v>
      </c>
      <c r="D40" s="59">
        <f t="shared" si="7"/>
        <v>14.93808396</v>
      </c>
      <c r="E40" s="60">
        <v>807.05200000000002</v>
      </c>
      <c r="F40" s="61">
        <v>2200</v>
      </c>
      <c r="G40" s="61">
        <f t="shared" si="1"/>
        <v>1775.5144000000003</v>
      </c>
      <c r="H40" s="60">
        <v>2078.14</v>
      </c>
      <c r="I40" s="61">
        <v>3245</v>
      </c>
      <c r="J40" s="61">
        <f t="shared" si="2"/>
        <v>6743.5643</v>
      </c>
      <c r="K40" s="60">
        <v>165.76650000000001</v>
      </c>
      <c r="L40" s="60">
        <v>2642</v>
      </c>
      <c r="M40" s="61">
        <f t="shared" si="3"/>
        <v>437.95509299999998</v>
      </c>
      <c r="N40" s="65">
        <v>320</v>
      </c>
      <c r="O40" s="61">
        <v>900</v>
      </c>
      <c r="P40" s="61">
        <f t="shared" si="4"/>
        <v>288</v>
      </c>
      <c r="Q40" s="61">
        <f t="shared" si="5"/>
        <v>3385.92652</v>
      </c>
      <c r="R40" s="62">
        <f t="shared" si="6"/>
        <v>9259.9718769600004</v>
      </c>
    </row>
    <row r="41" spans="1:18" x14ac:dyDescent="0.3">
      <c r="A41" s="39" t="s">
        <v>40</v>
      </c>
      <c r="B41" s="57">
        <v>1436.7940000000001</v>
      </c>
      <c r="C41" s="58">
        <v>1059.9359999999999</v>
      </c>
      <c r="D41" s="59">
        <f t="shared" si="7"/>
        <v>1522.909685184</v>
      </c>
      <c r="E41" s="60">
        <v>119.76730000000001</v>
      </c>
      <c r="F41" s="61">
        <v>1815</v>
      </c>
      <c r="G41" s="61">
        <f t="shared" si="1"/>
        <v>217.37764949999999</v>
      </c>
      <c r="H41" s="60">
        <v>2377.0390000000002</v>
      </c>
      <c r="I41" s="61">
        <v>3486</v>
      </c>
      <c r="J41" s="61">
        <f t="shared" si="2"/>
        <v>8286.357954000001</v>
      </c>
      <c r="K41" s="60">
        <v>20709</v>
      </c>
      <c r="L41" s="60">
        <v>3122</v>
      </c>
      <c r="M41" s="61">
        <f t="shared" si="3"/>
        <v>64653.498</v>
      </c>
      <c r="N41" s="66">
        <v>2564</v>
      </c>
      <c r="O41" s="61">
        <v>1000</v>
      </c>
      <c r="P41" s="61">
        <f t="shared" si="4"/>
        <v>2564</v>
      </c>
      <c r="Q41" s="61">
        <f t="shared" si="5"/>
        <v>27206.600299999998</v>
      </c>
      <c r="R41" s="62">
        <f t="shared" si="6"/>
        <v>77244.143288684005</v>
      </c>
    </row>
    <row r="42" spans="1:18" x14ac:dyDescent="0.3">
      <c r="A42" s="39" t="s">
        <v>13</v>
      </c>
      <c r="B42" s="57">
        <v>18461.28</v>
      </c>
      <c r="C42" s="58">
        <v>1579.98</v>
      </c>
      <c r="D42" s="59">
        <f t="shared" si="7"/>
        <v>29168.453174399998</v>
      </c>
      <c r="E42" s="60">
        <v>31047.03</v>
      </c>
      <c r="F42" s="61">
        <v>1747.47</v>
      </c>
      <c r="G42" s="61">
        <f t="shared" si="1"/>
        <v>54253.753514099997</v>
      </c>
      <c r="H42" s="60">
        <v>13691.14</v>
      </c>
      <c r="I42" s="61">
        <v>2500</v>
      </c>
      <c r="J42" s="61">
        <f t="shared" si="2"/>
        <v>34227.85</v>
      </c>
      <c r="K42" s="60">
        <v>2932.933</v>
      </c>
      <c r="L42" s="60">
        <v>2412</v>
      </c>
      <c r="M42" s="61">
        <f t="shared" si="3"/>
        <v>7074.2343959999998</v>
      </c>
      <c r="N42" s="65">
        <v>369</v>
      </c>
      <c r="O42" s="61">
        <v>823</v>
      </c>
      <c r="P42" s="61">
        <f t="shared" si="4"/>
        <v>303.68700000000001</v>
      </c>
      <c r="Q42" s="61">
        <f t="shared" si="5"/>
        <v>66501.383000000002</v>
      </c>
      <c r="R42" s="62">
        <f t="shared" si="6"/>
        <v>125027.97808449999</v>
      </c>
    </row>
    <row r="43" spans="1:18" x14ac:dyDescent="0.3">
      <c r="A43" s="39" t="s">
        <v>18</v>
      </c>
      <c r="B43" s="57">
        <v>14959.82</v>
      </c>
      <c r="C43" s="58">
        <v>958.36379999999997</v>
      </c>
      <c r="D43" s="59">
        <f t="shared" si="7"/>
        <v>14336.949942515999</v>
      </c>
      <c r="E43" s="60">
        <v>241.59119999999999</v>
      </c>
      <c r="F43" s="61">
        <v>520</v>
      </c>
      <c r="G43" s="61">
        <f t="shared" si="1"/>
        <v>125.627424</v>
      </c>
      <c r="H43" s="60">
        <v>120.79559999999999</v>
      </c>
      <c r="I43" s="61">
        <v>670</v>
      </c>
      <c r="J43" s="61">
        <f t="shared" si="2"/>
        <v>80.933051999999989</v>
      </c>
      <c r="K43" s="60">
        <v>0</v>
      </c>
      <c r="L43" s="60">
        <v>0</v>
      </c>
      <c r="M43" s="61">
        <f t="shared" si="3"/>
        <v>0</v>
      </c>
      <c r="N43" s="61">
        <v>0</v>
      </c>
      <c r="O43" s="61">
        <v>0</v>
      </c>
      <c r="P43" s="61">
        <f t="shared" si="4"/>
        <v>0</v>
      </c>
      <c r="Q43" s="61">
        <f t="shared" si="5"/>
        <v>15322.2068</v>
      </c>
      <c r="R43" s="62">
        <f t="shared" si="6"/>
        <v>14543.510418516</v>
      </c>
    </row>
    <row r="44" spans="1:18" x14ac:dyDescent="0.3">
      <c r="A44" s="39" t="s">
        <v>19</v>
      </c>
      <c r="B44" s="57">
        <v>11549.32</v>
      </c>
      <c r="C44" s="58">
        <v>990.15</v>
      </c>
      <c r="D44" s="59">
        <f t="shared" si="7"/>
        <v>11435.559197999999</v>
      </c>
      <c r="E44" s="60">
        <v>0</v>
      </c>
      <c r="F44" s="61">
        <v>0</v>
      </c>
      <c r="G44" s="61">
        <v>0</v>
      </c>
      <c r="H44" s="60">
        <v>0</v>
      </c>
      <c r="I44" s="61">
        <v>0</v>
      </c>
      <c r="J44" s="61">
        <f t="shared" si="2"/>
        <v>0</v>
      </c>
      <c r="K44" s="60">
        <v>0</v>
      </c>
      <c r="L44" s="60">
        <v>0</v>
      </c>
      <c r="M44" s="61">
        <f t="shared" si="3"/>
        <v>0</v>
      </c>
      <c r="N44" s="61">
        <v>0</v>
      </c>
      <c r="O44" s="61">
        <v>0</v>
      </c>
      <c r="P44" s="61">
        <f t="shared" si="4"/>
        <v>0</v>
      </c>
      <c r="Q44" s="61">
        <f t="shared" si="5"/>
        <v>11549.32</v>
      </c>
      <c r="R44" s="62">
        <f t="shared" si="6"/>
        <v>11435.559197999999</v>
      </c>
    </row>
    <row r="45" spans="1:18" x14ac:dyDescent="0.3">
      <c r="A45" s="39" t="s">
        <v>28</v>
      </c>
      <c r="B45" s="57">
        <v>1479</v>
      </c>
      <c r="C45" s="58">
        <v>1597.05</v>
      </c>
      <c r="D45" s="59">
        <f t="shared" si="7"/>
        <v>2362.0369499999997</v>
      </c>
      <c r="E45" s="60">
        <v>12434.76</v>
      </c>
      <c r="F45" s="61">
        <v>1750</v>
      </c>
      <c r="G45" s="61">
        <f t="shared" si="1"/>
        <v>21760.83</v>
      </c>
      <c r="H45" s="60">
        <v>19380.919999999998</v>
      </c>
      <c r="I45" s="61">
        <v>3272</v>
      </c>
      <c r="J45" s="61">
        <f t="shared" si="2"/>
        <v>63414.370239999997</v>
      </c>
      <c r="K45" s="60">
        <v>6148.9210000000003</v>
      </c>
      <c r="L45" s="60">
        <v>3500</v>
      </c>
      <c r="M45" s="61">
        <f t="shared" si="3"/>
        <v>21521.2235</v>
      </c>
      <c r="N45" s="66">
        <v>139</v>
      </c>
      <c r="O45" s="61">
        <v>900</v>
      </c>
      <c r="P45" s="61">
        <f t="shared" si="4"/>
        <v>125.1</v>
      </c>
      <c r="Q45" s="61">
        <f t="shared" si="5"/>
        <v>39582.601000000002</v>
      </c>
      <c r="R45" s="62">
        <f t="shared" si="6"/>
        <v>109183.56068999998</v>
      </c>
    </row>
    <row r="46" spans="1:18" x14ac:dyDescent="0.3">
      <c r="A46" s="39" t="s">
        <v>4</v>
      </c>
      <c r="B46" s="57">
        <v>650</v>
      </c>
      <c r="C46" s="58">
        <v>945</v>
      </c>
      <c r="D46" s="59">
        <f t="shared" si="7"/>
        <v>614.25</v>
      </c>
      <c r="E46" s="60">
        <v>0</v>
      </c>
      <c r="F46" s="61">
        <v>0</v>
      </c>
      <c r="G46" s="61">
        <v>0</v>
      </c>
      <c r="H46" s="60">
        <v>53.925249999999998</v>
      </c>
      <c r="I46" s="61">
        <v>1507</v>
      </c>
      <c r="J46" s="61">
        <f t="shared" si="2"/>
        <v>81.265351750000008</v>
      </c>
      <c r="K46" s="60">
        <v>5133.6369999999997</v>
      </c>
      <c r="L46" s="60">
        <v>3100</v>
      </c>
      <c r="M46" s="61">
        <f t="shared" si="3"/>
        <v>15914.2747</v>
      </c>
      <c r="N46" s="61">
        <v>0</v>
      </c>
      <c r="O46" s="61">
        <v>0</v>
      </c>
      <c r="P46" s="61">
        <f t="shared" si="4"/>
        <v>0</v>
      </c>
      <c r="Q46" s="61">
        <f t="shared" si="5"/>
        <v>5837.5622499999999</v>
      </c>
      <c r="R46" s="62">
        <f t="shared" si="6"/>
        <v>16609.790051750002</v>
      </c>
    </row>
    <row r="47" spans="1:18" x14ac:dyDescent="0.3">
      <c r="A47" s="39" t="s">
        <v>49</v>
      </c>
      <c r="B47" s="57">
        <v>0</v>
      </c>
      <c r="C47" s="58">
        <v>0</v>
      </c>
      <c r="D47" s="59">
        <f t="shared" si="7"/>
        <v>0</v>
      </c>
      <c r="E47" s="60">
        <v>0</v>
      </c>
      <c r="F47" s="61">
        <v>0</v>
      </c>
      <c r="G47" s="61">
        <v>0</v>
      </c>
      <c r="H47" s="60">
        <v>0</v>
      </c>
      <c r="I47" s="61">
        <v>0</v>
      </c>
      <c r="J47" s="61">
        <f t="shared" si="2"/>
        <v>0</v>
      </c>
      <c r="K47" s="61">
        <v>55</v>
      </c>
      <c r="L47" s="61">
        <v>4000</v>
      </c>
      <c r="M47" s="61">
        <v>220</v>
      </c>
      <c r="N47" s="61">
        <v>0</v>
      </c>
      <c r="O47" s="61">
        <v>0</v>
      </c>
      <c r="P47" s="61">
        <f t="shared" si="4"/>
        <v>0</v>
      </c>
      <c r="Q47" s="61">
        <f>B47+E47+H47+N47+K47</f>
        <v>55</v>
      </c>
      <c r="R47" s="62">
        <f>P47+M47+J47+G47+D47</f>
        <v>220</v>
      </c>
    </row>
    <row r="48" spans="1:18" x14ac:dyDescent="0.3">
      <c r="A48" s="39" t="s">
        <v>46</v>
      </c>
      <c r="B48" s="57">
        <v>0</v>
      </c>
      <c r="C48" s="58">
        <v>0</v>
      </c>
      <c r="D48" s="59">
        <f t="shared" si="7"/>
        <v>0</v>
      </c>
      <c r="E48" s="60">
        <v>0</v>
      </c>
      <c r="F48" s="61">
        <v>0</v>
      </c>
      <c r="G48" s="61">
        <v>0</v>
      </c>
      <c r="H48" s="60">
        <v>0</v>
      </c>
      <c r="I48" s="61">
        <v>0</v>
      </c>
      <c r="J48" s="61">
        <f t="shared" si="2"/>
        <v>0</v>
      </c>
      <c r="K48" s="61">
        <v>42113</v>
      </c>
      <c r="L48" s="61">
        <v>5700</v>
      </c>
      <c r="M48" s="61">
        <v>237940</v>
      </c>
      <c r="N48" s="61">
        <v>0</v>
      </c>
      <c r="O48" s="61">
        <v>0</v>
      </c>
      <c r="P48" s="61">
        <f t="shared" si="4"/>
        <v>0</v>
      </c>
      <c r="Q48" s="61">
        <f t="shared" ref="Q48:Q54" si="8">B48+E48+H48+N48+K48</f>
        <v>42113</v>
      </c>
      <c r="R48" s="62">
        <f t="shared" ref="R48:R54" si="9">P48+M48+J48+G48+D48</f>
        <v>237940</v>
      </c>
    </row>
    <row r="49" spans="1:18" x14ac:dyDescent="0.3">
      <c r="A49" s="39" t="s">
        <v>50</v>
      </c>
      <c r="B49" s="57">
        <v>0</v>
      </c>
      <c r="C49" s="58">
        <v>0</v>
      </c>
      <c r="D49" s="59">
        <f t="shared" si="7"/>
        <v>0</v>
      </c>
      <c r="E49" s="60">
        <v>0</v>
      </c>
      <c r="F49" s="61">
        <v>0</v>
      </c>
      <c r="G49" s="61">
        <v>0</v>
      </c>
      <c r="H49" s="60">
        <v>0</v>
      </c>
      <c r="I49" s="61">
        <v>0</v>
      </c>
      <c r="J49" s="61">
        <f t="shared" si="2"/>
        <v>0</v>
      </c>
      <c r="K49" s="61">
        <v>4221</v>
      </c>
      <c r="L49" s="61">
        <v>5900</v>
      </c>
      <c r="M49" s="61">
        <v>25114</v>
      </c>
      <c r="N49" s="61">
        <v>0</v>
      </c>
      <c r="O49" s="61">
        <v>0</v>
      </c>
      <c r="P49" s="61">
        <f t="shared" si="4"/>
        <v>0</v>
      </c>
      <c r="Q49" s="61">
        <f t="shared" si="8"/>
        <v>4221</v>
      </c>
      <c r="R49" s="62">
        <f t="shared" si="9"/>
        <v>25114</v>
      </c>
    </row>
    <row r="50" spans="1:18" x14ac:dyDescent="0.3">
      <c r="A50" s="39" t="s">
        <v>47</v>
      </c>
      <c r="B50" s="57">
        <v>0</v>
      </c>
      <c r="C50" s="58">
        <v>0</v>
      </c>
      <c r="D50" s="59">
        <f t="shared" si="7"/>
        <v>0</v>
      </c>
      <c r="E50" s="60">
        <v>0</v>
      </c>
      <c r="F50" s="61">
        <v>0</v>
      </c>
      <c r="G50" s="61">
        <v>0</v>
      </c>
      <c r="H50" s="60">
        <v>0</v>
      </c>
      <c r="I50" s="61">
        <v>0</v>
      </c>
      <c r="J50" s="61">
        <f t="shared" si="2"/>
        <v>0</v>
      </c>
      <c r="K50" s="61">
        <v>11449</v>
      </c>
      <c r="L50" s="61">
        <v>5700</v>
      </c>
      <c r="M50" s="61">
        <v>65229</v>
      </c>
      <c r="N50" s="61">
        <v>0</v>
      </c>
      <c r="O50" s="61">
        <v>0</v>
      </c>
      <c r="P50" s="61">
        <f t="shared" si="4"/>
        <v>0</v>
      </c>
      <c r="Q50" s="61">
        <f t="shared" si="8"/>
        <v>11449</v>
      </c>
      <c r="R50" s="62">
        <f t="shared" si="9"/>
        <v>65229</v>
      </c>
    </row>
    <row r="51" spans="1:18" x14ac:dyDescent="0.3">
      <c r="A51" s="39" t="s">
        <v>48</v>
      </c>
      <c r="B51" s="57">
        <v>0</v>
      </c>
      <c r="C51" s="58">
        <v>0</v>
      </c>
      <c r="D51" s="59">
        <f t="shared" si="7"/>
        <v>0</v>
      </c>
      <c r="E51" s="60">
        <v>0</v>
      </c>
      <c r="F51" s="61">
        <v>0</v>
      </c>
      <c r="G51" s="61">
        <v>0</v>
      </c>
      <c r="H51" s="60">
        <v>0</v>
      </c>
      <c r="I51" s="61">
        <v>0</v>
      </c>
      <c r="J51" s="61">
        <f t="shared" si="2"/>
        <v>0</v>
      </c>
      <c r="K51" s="61">
        <v>157</v>
      </c>
      <c r="L51" s="61">
        <v>6000</v>
      </c>
      <c r="M51" s="61">
        <v>936</v>
      </c>
      <c r="N51" s="61">
        <v>0</v>
      </c>
      <c r="O51" s="61">
        <v>0</v>
      </c>
      <c r="P51" s="61">
        <f t="shared" si="4"/>
        <v>0</v>
      </c>
      <c r="Q51" s="61">
        <f t="shared" si="8"/>
        <v>157</v>
      </c>
      <c r="R51" s="62">
        <f t="shared" si="9"/>
        <v>936</v>
      </c>
    </row>
    <row r="52" spans="1:18" x14ac:dyDescent="0.3">
      <c r="A52" s="39" t="s">
        <v>60</v>
      </c>
      <c r="B52" s="57">
        <v>0</v>
      </c>
      <c r="C52" s="58">
        <v>0</v>
      </c>
      <c r="D52" s="59">
        <f t="shared" si="7"/>
        <v>0</v>
      </c>
      <c r="E52" s="60">
        <v>0</v>
      </c>
      <c r="F52" s="61">
        <v>0</v>
      </c>
      <c r="G52" s="61">
        <v>0</v>
      </c>
      <c r="H52" s="60">
        <v>0</v>
      </c>
      <c r="I52" s="61">
        <v>0</v>
      </c>
      <c r="J52" s="61">
        <f t="shared" si="2"/>
        <v>0</v>
      </c>
      <c r="K52" s="61">
        <v>2173</v>
      </c>
      <c r="L52" s="61">
        <v>6100</v>
      </c>
      <c r="M52" s="61">
        <v>13210</v>
      </c>
      <c r="N52" s="61">
        <v>0</v>
      </c>
      <c r="O52" s="61">
        <v>0</v>
      </c>
      <c r="P52" s="61">
        <f t="shared" si="4"/>
        <v>0</v>
      </c>
      <c r="Q52" s="61">
        <f t="shared" si="8"/>
        <v>2173</v>
      </c>
      <c r="R52" s="62">
        <f t="shared" si="9"/>
        <v>13210</v>
      </c>
    </row>
    <row r="53" spans="1:18" ht="15" thickBot="1" x14ac:dyDescent="0.35">
      <c r="A53" s="40" t="s">
        <v>65</v>
      </c>
      <c r="B53" s="67">
        <v>0</v>
      </c>
      <c r="C53" s="68">
        <v>0</v>
      </c>
      <c r="D53" s="69">
        <f t="shared" si="7"/>
        <v>0</v>
      </c>
      <c r="E53" s="70">
        <v>0</v>
      </c>
      <c r="F53" s="71">
        <v>0</v>
      </c>
      <c r="G53" s="71">
        <v>0</v>
      </c>
      <c r="H53" s="70">
        <v>0</v>
      </c>
      <c r="I53" s="71">
        <v>0</v>
      </c>
      <c r="J53" s="71">
        <f t="shared" si="2"/>
        <v>0</v>
      </c>
      <c r="K53" s="71">
        <v>4310.95</v>
      </c>
      <c r="L53" s="71">
        <v>5750</v>
      </c>
      <c r="M53" s="71">
        <f t="shared" si="3"/>
        <v>24787.962500000001</v>
      </c>
      <c r="N53" s="71">
        <v>0</v>
      </c>
      <c r="O53" s="71">
        <v>0</v>
      </c>
      <c r="P53" s="71">
        <f t="shared" si="4"/>
        <v>0</v>
      </c>
      <c r="Q53" s="61">
        <f t="shared" si="8"/>
        <v>4310.95</v>
      </c>
      <c r="R53" s="62">
        <f t="shared" si="9"/>
        <v>24787.962500000001</v>
      </c>
    </row>
    <row r="54" spans="1:18" s="4" customFormat="1" ht="16.8" thickTop="1" thickBot="1" x14ac:dyDescent="0.35">
      <c r="A54" s="3" t="s">
        <v>71</v>
      </c>
      <c r="B54" s="72">
        <f>SUM(B5:B53)</f>
        <v>638380.54781999998</v>
      </c>
      <c r="C54" s="45">
        <f>(D54/B54)*1000</f>
        <v>1058.7887813807017</v>
      </c>
      <c r="D54" s="37">
        <f>SUM(D5:D53)</f>
        <v>675910.16228348261</v>
      </c>
      <c r="E54" s="72">
        <f>SUM(E5:E53)</f>
        <v>123445.76878999997</v>
      </c>
      <c r="F54" s="36">
        <f>(G54/E54)*1000</f>
        <v>1507.16863187238</v>
      </c>
      <c r="G54" s="37">
        <f>SUM(G5:G53)</f>
        <v>186053.5904576584</v>
      </c>
      <c r="H54" s="72">
        <f>SUM(H5:H53)</f>
        <v>164905.92752</v>
      </c>
      <c r="I54" s="36">
        <f>(J54/H54)*1000</f>
        <v>3005.1741107843841</v>
      </c>
      <c r="J54" s="37">
        <f>SUM(J5:J53)</f>
        <v>495571.02409799007</v>
      </c>
      <c r="K54" s="72">
        <f>SUM(K5:K53)</f>
        <v>239977.1067</v>
      </c>
      <c r="L54" s="36">
        <f>(M54/K54)*1000</f>
        <v>3942.9125503418491</v>
      </c>
      <c r="M54" s="37">
        <f>SUM(M5:M53)</f>
        <v>946208.74580215511</v>
      </c>
      <c r="N54" s="73">
        <f>SUM(N5:N53)</f>
        <v>6647</v>
      </c>
      <c r="O54" s="36">
        <f>(P54/N54)*1000</f>
        <v>943.99533624191372</v>
      </c>
      <c r="P54" s="74">
        <f>SUM(P5:P53)</f>
        <v>6274.7370000000001</v>
      </c>
      <c r="Q54" s="75">
        <f t="shared" si="8"/>
        <v>1173356.3508299999</v>
      </c>
      <c r="R54" s="75">
        <f t="shared" si="9"/>
        <v>2310018.259641286</v>
      </c>
    </row>
    <row r="55" spans="1:18" ht="16.2" thickTop="1" x14ac:dyDescent="0.3">
      <c r="A55" s="5" t="s">
        <v>70</v>
      </c>
    </row>
    <row r="56" spans="1:18" x14ac:dyDescent="0.3">
      <c r="B56" s="43"/>
      <c r="N56" s="43"/>
    </row>
    <row r="57" spans="1:18" x14ac:dyDescent="0.3">
      <c r="B57" s="43"/>
      <c r="N57" s="43"/>
    </row>
    <row r="58" spans="1:18" x14ac:dyDescent="0.3">
      <c r="B58" s="43"/>
      <c r="N58" s="43"/>
    </row>
    <row r="59" spans="1:18" x14ac:dyDescent="0.3">
      <c r="B59" s="43"/>
      <c r="I59" s="44"/>
      <c r="N59" s="43"/>
    </row>
    <row r="60" spans="1:18" x14ac:dyDescent="0.3">
      <c r="B60" s="43"/>
      <c r="N60" s="43"/>
    </row>
    <row r="61" spans="1:18" x14ac:dyDescent="0.3">
      <c r="B61" s="43"/>
      <c r="N61" s="43"/>
    </row>
    <row r="62" spans="1:18" x14ac:dyDescent="0.3">
      <c r="B62" s="43"/>
      <c r="N62" s="43"/>
    </row>
    <row r="63" spans="1:18" x14ac:dyDescent="0.3">
      <c r="B63" s="43"/>
      <c r="N63" s="43"/>
    </row>
    <row r="64" spans="1:18" x14ac:dyDescent="0.3">
      <c r="B64" s="43"/>
      <c r="N64" s="43"/>
    </row>
    <row r="65" spans="2:14" x14ac:dyDescent="0.3">
      <c r="B65" s="43"/>
      <c r="N65" s="43"/>
    </row>
    <row r="66" spans="2:14" x14ac:dyDescent="0.3">
      <c r="B66" s="43"/>
      <c r="N66" s="43"/>
    </row>
    <row r="67" spans="2:14" x14ac:dyDescent="0.3">
      <c r="B67" s="43"/>
      <c r="N67" s="43"/>
    </row>
    <row r="68" spans="2:14" x14ac:dyDescent="0.3">
      <c r="B68" s="43"/>
      <c r="N68" s="43"/>
    </row>
    <row r="69" spans="2:14" x14ac:dyDescent="0.3">
      <c r="B69" s="43"/>
      <c r="N69" s="43"/>
    </row>
    <row r="70" spans="2:14" x14ac:dyDescent="0.3">
      <c r="B70" s="43"/>
      <c r="N70" s="43"/>
    </row>
    <row r="71" spans="2:14" x14ac:dyDescent="0.3">
      <c r="B71" s="43"/>
      <c r="N71" s="43"/>
    </row>
    <row r="72" spans="2:14" x14ac:dyDescent="0.3">
      <c r="B72" s="43"/>
      <c r="N72" s="43"/>
    </row>
    <row r="73" spans="2:14" x14ac:dyDescent="0.3">
      <c r="B73" s="43"/>
      <c r="N73" s="43"/>
    </row>
    <row r="74" spans="2:14" x14ac:dyDescent="0.3">
      <c r="B74" s="43"/>
      <c r="N74" s="43"/>
    </row>
    <row r="75" spans="2:14" x14ac:dyDescent="0.3">
      <c r="B75" s="43"/>
      <c r="N75" s="43"/>
    </row>
    <row r="76" spans="2:14" x14ac:dyDescent="0.3">
      <c r="B76" s="43"/>
      <c r="N76" s="43"/>
    </row>
    <row r="77" spans="2:14" x14ac:dyDescent="0.3">
      <c r="B77" s="43"/>
      <c r="N77" s="43"/>
    </row>
    <row r="78" spans="2:14" x14ac:dyDescent="0.3">
      <c r="B78" s="43"/>
      <c r="N78" s="43"/>
    </row>
    <row r="79" spans="2:14" x14ac:dyDescent="0.3">
      <c r="B79" s="43"/>
      <c r="N79" s="43"/>
    </row>
    <row r="80" spans="2:14" x14ac:dyDescent="0.3">
      <c r="B80" s="43"/>
    </row>
    <row r="81" spans="2:14" x14ac:dyDescent="0.3">
      <c r="B81" s="43"/>
      <c r="N81" s="43"/>
    </row>
    <row r="82" spans="2:14" x14ac:dyDescent="0.3">
      <c r="B82" s="43"/>
      <c r="N82" s="43"/>
    </row>
    <row r="83" spans="2:14" x14ac:dyDescent="0.3">
      <c r="B83" s="43"/>
      <c r="N83" s="43"/>
    </row>
    <row r="84" spans="2:14" x14ac:dyDescent="0.3">
      <c r="B84" s="43"/>
      <c r="N84" s="43"/>
    </row>
    <row r="85" spans="2:14" x14ac:dyDescent="0.3">
      <c r="B85" s="43"/>
      <c r="N85" s="43"/>
    </row>
    <row r="86" spans="2:14" x14ac:dyDescent="0.3">
      <c r="B86" s="43"/>
      <c r="N86" s="43"/>
    </row>
    <row r="87" spans="2:14" x14ac:dyDescent="0.3">
      <c r="B87" s="43"/>
      <c r="N87" s="43"/>
    </row>
    <row r="88" spans="2:14" x14ac:dyDescent="0.3">
      <c r="B88" s="43"/>
      <c r="N88" s="43"/>
    </row>
    <row r="89" spans="2:14" x14ac:dyDescent="0.3">
      <c r="B89" s="43"/>
    </row>
    <row r="90" spans="2:14" x14ac:dyDescent="0.3">
      <c r="B90" s="43"/>
    </row>
    <row r="91" spans="2:14" x14ac:dyDescent="0.3">
      <c r="B91" s="43"/>
    </row>
  </sheetData>
  <mergeCells count="6">
    <mergeCell ref="Q3:R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96"/>
  <sheetViews>
    <sheetView tabSelected="1" zoomScale="130" zoomScaleNormal="130" workbookViewId="0">
      <pane xSplit="1" ySplit="4" topLeftCell="B41" activePane="bottomRight" state="frozen"/>
      <selection pane="topRight" activeCell="B1" sqref="B1"/>
      <selection pane="bottomLeft" activeCell="A5" sqref="A5"/>
      <selection pane="bottomRight" activeCell="D51" sqref="D51"/>
    </sheetView>
  </sheetViews>
  <sheetFormatPr baseColWidth="10" defaultColWidth="11.44140625" defaultRowHeight="14.4" x14ac:dyDescent="0.3"/>
  <cols>
    <col min="1" max="1" width="36.109375" style="1" customWidth="1"/>
    <col min="2" max="2" width="12.5546875" style="1" customWidth="1"/>
    <col min="3" max="3" width="11.5546875" style="1" customWidth="1"/>
    <col min="4" max="4" width="12.5546875" style="1" customWidth="1"/>
    <col min="5" max="5" width="11.5546875" style="1" bestFit="1" customWidth="1"/>
    <col min="6" max="6" width="12.5546875" style="1" customWidth="1"/>
    <col min="7" max="7" width="12.44140625" style="1" customWidth="1"/>
    <col min="8" max="8" width="12.5546875" style="1" bestFit="1" customWidth="1"/>
    <col min="9" max="9" width="11.5546875" style="1" bestFit="1" customWidth="1"/>
    <col min="10" max="10" width="12.5546875" style="1" bestFit="1" customWidth="1"/>
    <col min="11" max="12" width="11.5546875" style="1" bestFit="1" customWidth="1"/>
    <col min="13" max="13" width="12.109375" style="1" customWidth="1"/>
    <col min="14" max="15" width="11.5546875" style="1" bestFit="1" customWidth="1"/>
    <col min="16" max="16" width="12.44140625" style="1" customWidth="1"/>
    <col min="17" max="19" width="11.5546875" style="1" bestFit="1" customWidth="1"/>
    <col min="20" max="16384" width="11.44140625" style="1"/>
  </cols>
  <sheetData>
    <row r="1" spans="1:19" ht="15.6" x14ac:dyDescent="0.3">
      <c r="A1" s="4" t="s">
        <v>69</v>
      </c>
    </row>
    <row r="2" spans="1:19" ht="15" thickBot="1" x14ac:dyDescent="0.35"/>
    <row r="3" spans="1:19" ht="16.8" thickTop="1" thickBot="1" x14ac:dyDescent="0.35">
      <c r="A3" s="21"/>
      <c r="B3" s="87" t="s">
        <v>67</v>
      </c>
      <c r="C3" s="87"/>
      <c r="D3" s="87"/>
      <c r="E3" s="81" t="s">
        <v>55</v>
      </c>
      <c r="F3" s="81"/>
      <c r="G3" s="81"/>
      <c r="H3" s="87" t="s">
        <v>56</v>
      </c>
      <c r="I3" s="87"/>
      <c r="J3" s="87"/>
      <c r="K3" s="87" t="s">
        <v>57</v>
      </c>
      <c r="L3" s="87"/>
      <c r="M3" s="87"/>
      <c r="N3" s="85" t="s">
        <v>58</v>
      </c>
      <c r="O3" s="81"/>
      <c r="P3" s="88"/>
      <c r="Q3" s="85" t="s">
        <v>59</v>
      </c>
      <c r="R3" s="81"/>
      <c r="S3" s="86"/>
    </row>
    <row r="4" spans="1:19" ht="15.75" customHeight="1" thickTop="1" thickBot="1" x14ac:dyDescent="0.35">
      <c r="A4" s="3" t="s">
        <v>0</v>
      </c>
      <c r="B4" s="2" t="s">
        <v>51</v>
      </c>
      <c r="C4" s="2" t="s">
        <v>53</v>
      </c>
      <c r="D4" s="10" t="s">
        <v>52</v>
      </c>
      <c r="E4" s="2" t="s">
        <v>51</v>
      </c>
      <c r="F4" s="2" t="s">
        <v>53</v>
      </c>
      <c r="G4" s="10" t="s">
        <v>52</v>
      </c>
      <c r="H4" s="2" t="s">
        <v>51</v>
      </c>
      <c r="I4" s="2" t="s">
        <v>53</v>
      </c>
      <c r="J4" s="10" t="s">
        <v>52</v>
      </c>
      <c r="K4" s="19" t="s">
        <v>51</v>
      </c>
      <c r="L4" s="2" t="s">
        <v>53</v>
      </c>
      <c r="M4" s="10" t="s">
        <v>52</v>
      </c>
      <c r="N4" s="2" t="s">
        <v>51</v>
      </c>
      <c r="O4" s="2" t="s">
        <v>53</v>
      </c>
      <c r="P4" s="10" t="s">
        <v>52</v>
      </c>
      <c r="Q4" s="2" t="s">
        <v>51</v>
      </c>
      <c r="R4" s="2" t="s">
        <v>53</v>
      </c>
      <c r="S4" s="10" t="s">
        <v>52</v>
      </c>
    </row>
    <row r="5" spans="1:19" ht="15" thickTop="1" x14ac:dyDescent="0.3">
      <c r="A5" s="22" t="s">
        <v>11</v>
      </c>
      <c r="B5" s="48">
        <v>488.84440000000001</v>
      </c>
      <c r="C5" s="49">
        <v>1235</v>
      </c>
      <c r="D5" s="50">
        <f t="shared" ref="D5:D46" si="0">(B5*C5)/1000</f>
        <v>603.72283400000003</v>
      </c>
      <c r="E5" s="50" t="s">
        <v>62</v>
      </c>
      <c r="F5" s="26"/>
      <c r="G5" s="26"/>
      <c r="H5" s="26">
        <v>700</v>
      </c>
      <c r="I5" s="26">
        <v>600</v>
      </c>
      <c r="J5" s="26">
        <f t="shared" ref="J5:J46" si="1">(H5*I5)/1000</f>
        <v>420</v>
      </c>
      <c r="K5" s="27">
        <v>0</v>
      </c>
      <c r="L5" s="27">
        <v>0</v>
      </c>
      <c r="M5" s="28">
        <f t="shared" ref="M5:M46" si="2">(K5*L5)/1000</f>
        <v>0</v>
      </c>
      <c r="N5" s="13">
        <v>0</v>
      </c>
      <c r="O5" s="9">
        <v>0</v>
      </c>
      <c r="P5" s="9">
        <f t="shared" ref="P5:Q46" si="3">(N5*O5)/1000</f>
        <v>0</v>
      </c>
      <c r="Q5" s="9">
        <f t="shared" si="3"/>
        <v>0</v>
      </c>
      <c r="R5" s="9"/>
      <c r="S5" s="9">
        <f t="shared" ref="S5:S46" si="4">(Q5*R5)/1000</f>
        <v>0</v>
      </c>
    </row>
    <row r="6" spans="1:19" x14ac:dyDescent="0.3">
      <c r="A6" s="23" t="s">
        <v>5</v>
      </c>
      <c r="B6" s="48">
        <v>21350.51</v>
      </c>
      <c r="C6" s="49">
        <v>704</v>
      </c>
      <c r="D6" s="50">
        <f t="shared" si="0"/>
        <v>15030.759039999999</v>
      </c>
      <c r="E6" s="50" t="s">
        <v>62</v>
      </c>
      <c r="F6" s="26"/>
      <c r="G6" s="26"/>
      <c r="H6" s="26">
        <v>12853.37</v>
      </c>
      <c r="I6" s="26">
        <v>596.25469999999996</v>
      </c>
      <c r="J6" s="26">
        <f t="shared" si="1"/>
        <v>7663.8822733389998</v>
      </c>
      <c r="K6" s="31">
        <v>243</v>
      </c>
      <c r="L6" s="27">
        <v>8000</v>
      </c>
      <c r="M6" s="28">
        <f t="shared" si="2"/>
        <v>1944</v>
      </c>
      <c r="N6" s="18">
        <v>325.5</v>
      </c>
      <c r="O6" s="9">
        <v>13000</v>
      </c>
      <c r="P6" s="9">
        <f t="shared" si="3"/>
        <v>4231.5</v>
      </c>
      <c r="Q6" s="7">
        <v>695</v>
      </c>
      <c r="R6" s="9">
        <v>600</v>
      </c>
      <c r="S6" s="7">
        <f t="shared" si="4"/>
        <v>417</v>
      </c>
    </row>
    <row r="7" spans="1:19" x14ac:dyDescent="0.3">
      <c r="A7" s="23" t="s">
        <v>2</v>
      </c>
      <c r="B7" s="48">
        <v>15573.57</v>
      </c>
      <c r="C7" s="49">
        <v>1152</v>
      </c>
      <c r="D7" s="50">
        <f t="shared" si="0"/>
        <v>17940.752639999999</v>
      </c>
      <c r="E7" s="50" t="s">
        <v>62</v>
      </c>
      <c r="F7" s="26"/>
      <c r="G7" s="26"/>
      <c r="H7" s="26">
        <v>4110.2460000000001</v>
      </c>
      <c r="I7" s="26">
        <v>600.96680000000003</v>
      </c>
      <c r="J7" s="26">
        <f t="shared" si="1"/>
        <v>2470.1213858328001</v>
      </c>
      <c r="K7" s="27">
        <v>549</v>
      </c>
      <c r="L7" s="27">
        <v>11000</v>
      </c>
      <c r="M7" s="28">
        <f t="shared" si="2"/>
        <v>6039</v>
      </c>
      <c r="N7" s="13">
        <v>649.57449999999994</v>
      </c>
      <c r="O7" s="9">
        <v>13000</v>
      </c>
      <c r="P7" s="9">
        <f t="shared" si="3"/>
        <v>8444.4685000000009</v>
      </c>
      <c r="Q7" s="7">
        <v>0</v>
      </c>
      <c r="R7" s="9"/>
      <c r="S7" s="7">
        <f t="shared" si="4"/>
        <v>0</v>
      </c>
    </row>
    <row r="8" spans="1:19" x14ac:dyDescent="0.3">
      <c r="A8" s="23" t="s">
        <v>66</v>
      </c>
      <c r="B8" s="48">
        <v>28783.61</v>
      </c>
      <c r="C8" s="49">
        <v>1029.271</v>
      </c>
      <c r="D8" s="50">
        <f t="shared" si="0"/>
        <v>29626.13504831</v>
      </c>
      <c r="E8" s="50" t="s">
        <v>62</v>
      </c>
      <c r="F8" s="26"/>
      <c r="G8" s="26"/>
      <c r="H8" s="26">
        <v>149.2371</v>
      </c>
      <c r="I8" s="26">
        <v>598.83720000000005</v>
      </c>
      <c r="J8" s="26">
        <f t="shared" si="1"/>
        <v>89.368727100120012</v>
      </c>
      <c r="K8" s="27">
        <v>177</v>
      </c>
      <c r="L8" s="27">
        <v>12500</v>
      </c>
      <c r="M8" s="28">
        <f t="shared" si="2"/>
        <v>2212.5</v>
      </c>
      <c r="N8" s="18">
        <v>1638.4949999999999</v>
      </c>
      <c r="O8" s="9">
        <v>22000</v>
      </c>
      <c r="P8" s="9">
        <f t="shared" si="3"/>
        <v>36046.89</v>
      </c>
      <c r="Q8" s="13">
        <v>927</v>
      </c>
      <c r="R8" s="9">
        <v>700</v>
      </c>
      <c r="S8" s="7">
        <f t="shared" si="4"/>
        <v>648.9</v>
      </c>
    </row>
    <row r="9" spans="1:19" x14ac:dyDescent="0.3">
      <c r="A9" s="23" t="s">
        <v>38</v>
      </c>
      <c r="B9" s="48">
        <v>24995.09</v>
      </c>
      <c r="C9" s="49">
        <v>1268.345</v>
      </c>
      <c r="D9" s="50">
        <f t="shared" si="0"/>
        <v>31702.39742605</v>
      </c>
      <c r="E9" s="50" t="s">
        <v>62</v>
      </c>
      <c r="F9" s="26"/>
      <c r="G9" s="26"/>
      <c r="H9" s="26">
        <v>1720.8879999999999</v>
      </c>
      <c r="I9" s="26">
        <v>599.98099999999999</v>
      </c>
      <c r="J9" s="26">
        <f t="shared" si="1"/>
        <v>1032.5001031279999</v>
      </c>
      <c r="K9" s="27">
        <v>88</v>
      </c>
      <c r="L9" s="27">
        <v>17200</v>
      </c>
      <c r="M9" s="28">
        <f t="shared" si="2"/>
        <v>1513.6</v>
      </c>
      <c r="N9" s="18">
        <v>842.80439999999999</v>
      </c>
      <c r="O9" s="9">
        <v>21500</v>
      </c>
      <c r="P9" s="9">
        <f t="shared" si="3"/>
        <v>18120.294600000001</v>
      </c>
      <c r="Q9" s="18">
        <v>2142.1179999999999</v>
      </c>
      <c r="R9" s="9">
        <v>700</v>
      </c>
      <c r="S9" s="7">
        <f t="shared" si="4"/>
        <v>1499.4825999999998</v>
      </c>
    </row>
    <row r="10" spans="1:19" x14ac:dyDescent="0.3">
      <c r="A10" s="23" t="s">
        <v>8</v>
      </c>
      <c r="B10" s="48">
        <v>0</v>
      </c>
      <c r="C10" s="49">
        <v>0</v>
      </c>
      <c r="D10" s="50">
        <f t="shared" si="0"/>
        <v>0</v>
      </c>
      <c r="E10" s="50" t="s">
        <v>62</v>
      </c>
      <c r="F10" s="26"/>
      <c r="G10" s="26"/>
      <c r="H10" s="26">
        <v>99.162520000000001</v>
      </c>
      <c r="I10" s="26">
        <v>600</v>
      </c>
      <c r="J10" s="26">
        <f t="shared" si="1"/>
        <v>59.497512</v>
      </c>
      <c r="K10" s="27">
        <v>1436</v>
      </c>
      <c r="L10" s="27">
        <v>14000</v>
      </c>
      <c r="M10" s="28">
        <f t="shared" si="2"/>
        <v>20104</v>
      </c>
      <c r="N10" s="18">
        <v>4107.6689999999999</v>
      </c>
      <c r="O10" s="9">
        <v>6500</v>
      </c>
      <c r="P10" s="9">
        <f t="shared" si="3"/>
        <v>26699.8485</v>
      </c>
      <c r="Q10" s="13">
        <v>0</v>
      </c>
      <c r="R10" s="9"/>
      <c r="S10" s="7">
        <f t="shared" si="4"/>
        <v>0</v>
      </c>
    </row>
    <row r="11" spans="1:19" x14ac:dyDescent="0.3">
      <c r="A11" s="23" t="s">
        <v>6</v>
      </c>
      <c r="B11" s="48">
        <v>16076.19</v>
      </c>
      <c r="C11" s="49">
        <v>650</v>
      </c>
      <c r="D11" s="50">
        <f t="shared" si="0"/>
        <v>10449.523499999999</v>
      </c>
      <c r="E11" s="50" t="s">
        <v>62</v>
      </c>
      <c r="F11" s="26"/>
      <c r="G11" s="26"/>
      <c r="H11" s="26">
        <v>2771.9870000000001</v>
      </c>
      <c r="I11" s="26">
        <v>600.37490000000003</v>
      </c>
      <c r="J11" s="26">
        <f t="shared" si="1"/>
        <v>1664.2314179263001</v>
      </c>
      <c r="K11" s="27">
        <v>0</v>
      </c>
      <c r="L11" s="27">
        <v>0</v>
      </c>
      <c r="M11" s="28">
        <f t="shared" si="2"/>
        <v>0</v>
      </c>
      <c r="N11" s="13">
        <v>0</v>
      </c>
      <c r="O11" s="9">
        <v>0</v>
      </c>
      <c r="P11" s="9">
        <f t="shared" si="3"/>
        <v>0</v>
      </c>
      <c r="Q11" s="13">
        <v>202</v>
      </c>
      <c r="R11" s="9">
        <v>504</v>
      </c>
      <c r="S11" s="7">
        <f t="shared" si="4"/>
        <v>101.80800000000001</v>
      </c>
    </row>
    <row r="12" spans="1:19" x14ac:dyDescent="0.3">
      <c r="A12" s="23" t="s">
        <v>23</v>
      </c>
      <c r="B12" s="48">
        <v>24248.46</v>
      </c>
      <c r="C12" s="49">
        <v>987</v>
      </c>
      <c r="D12" s="50">
        <f t="shared" si="0"/>
        <v>23933.230019999999</v>
      </c>
      <c r="E12" s="50" t="s">
        <v>62</v>
      </c>
      <c r="F12" s="26"/>
      <c r="G12" s="26"/>
      <c r="H12" s="26">
        <v>1747.17</v>
      </c>
      <c r="I12" s="26">
        <v>650</v>
      </c>
      <c r="J12" s="26">
        <f t="shared" si="1"/>
        <v>1135.6605</v>
      </c>
      <c r="K12" s="27">
        <v>2248</v>
      </c>
      <c r="L12" s="27">
        <v>9000</v>
      </c>
      <c r="M12" s="28">
        <f t="shared" si="2"/>
        <v>20232</v>
      </c>
      <c r="N12" s="13">
        <v>9082.3889999999992</v>
      </c>
      <c r="O12" s="7">
        <v>11000</v>
      </c>
      <c r="P12" s="9">
        <f t="shared" si="3"/>
        <v>99906.27899999998</v>
      </c>
      <c r="Q12" s="13">
        <v>0</v>
      </c>
      <c r="R12" s="9"/>
      <c r="S12" s="7">
        <f t="shared" si="4"/>
        <v>0</v>
      </c>
    </row>
    <row r="13" spans="1:19" x14ac:dyDescent="0.3">
      <c r="A13" s="23" t="s">
        <v>24</v>
      </c>
      <c r="B13" s="48">
        <v>20818.45</v>
      </c>
      <c r="C13" s="49">
        <v>990</v>
      </c>
      <c r="D13" s="50">
        <f t="shared" si="0"/>
        <v>20610.265500000001</v>
      </c>
      <c r="E13" s="50" t="s">
        <v>62</v>
      </c>
      <c r="F13" s="26"/>
      <c r="G13" s="26"/>
      <c r="H13" s="26">
        <v>135.31469999999999</v>
      </c>
      <c r="I13" s="26">
        <v>672</v>
      </c>
      <c r="J13" s="26">
        <f t="shared" si="1"/>
        <v>90.931478399999989</v>
      </c>
      <c r="K13" s="31">
        <v>1146</v>
      </c>
      <c r="L13" s="27">
        <v>9000</v>
      </c>
      <c r="M13" s="28">
        <f t="shared" si="2"/>
        <v>10314</v>
      </c>
      <c r="N13" s="18">
        <v>683.68740000000003</v>
      </c>
      <c r="O13" s="7">
        <v>10000</v>
      </c>
      <c r="P13" s="9">
        <f t="shared" si="3"/>
        <v>6836.8739999999998</v>
      </c>
      <c r="Q13" s="13">
        <f>_xlfn.IFNA(VLOOKUP(A13,[1]SESAME!C$3:D$21,2,0),"")</f>
        <v>111</v>
      </c>
      <c r="R13" s="9">
        <v>750</v>
      </c>
      <c r="S13" s="7">
        <f t="shared" si="4"/>
        <v>83.25</v>
      </c>
    </row>
    <row r="14" spans="1:19" x14ac:dyDescent="0.3">
      <c r="A14" s="23" t="s">
        <v>25</v>
      </c>
      <c r="B14" s="48">
        <v>22326</v>
      </c>
      <c r="C14" s="49">
        <v>897</v>
      </c>
      <c r="D14" s="50">
        <f t="shared" si="0"/>
        <v>20026.421999999999</v>
      </c>
      <c r="E14" s="50" t="s">
        <v>62</v>
      </c>
      <c r="F14" s="26"/>
      <c r="G14" s="26"/>
      <c r="H14" s="26">
        <v>1361.3050000000001</v>
      </c>
      <c r="I14" s="26">
        <v>598.69010000000003</v>
      </c>
      <c r="J14" s="26">
        <f t="shared" si="1"/>
        <v>814.9998265805001</v>
      </c>
      <c r="K14" s="27">
        <v>1020</v>
      </c>
      <c r="L14" s="27">
        <v>9000</v>
      </c>
      <c r="M14" s="28">
        <f t="shared" si="2"/>
        <v>9180</v>
      </c>
      <c r="N14" s="18">
        <v>863.07920000000001</v>
      </c>
      <c r="O14" s="7">
        <v>10000</v>
      </c>
      <c r="P14" s="9">
        <f t="shared" si="3"/>
        <v>8630.7919999999995</v>
      </c>
      <c r="Q14" s="13">
        <v>0</v>
      </c>
      <c r="S14" s="7">
        <f>(Q14*R17)/1000</f>
        <v>0</v>
      </c>
    </row>
    <row r="15" spans="1:19" x14ac:dyDescent="0.3">
      <c r="A15" s="23" t="s">
        <v>12</v>
      </c>
      <c r="B15" s="48">
        <v>6473.9880000000003</v>
      </c>
      <c r="C15" s="49">
        <v>1220</v>
      </c>
      <c r="D15" s="50">
        <f t="shared" si="0"/>
        <v>7898.2653600000003</v>
      </c>
      <c r="E15" s="50" t="s">
        <v>62</v>
      </c>
      <c r="F15" s="26"/>
      <c r="G15" s="26"/>
      <c r="H15" s="26">
        <v>44.512329999999999</v>
      </c>
      <c r="I15" s="26">
        <v>598.83040000000005</v>
      </c>
      <c r="J15" s="26">
        <f t="shared" si="1"/>
        <v>26.655336378832001</v>
      </c>
      <c r="K15" s="27">
        <v>0</v>
      </c>
      <c r="L15" s="27">
        <v>0</v>
      </c>
      <c r="M15" s="28">
        <f t="shared" si="2"/>
        <v>0</v>
      </c>
      <c r="N15" s="18">
        <v>12.05232</v>
      </c>
      <c r="O15" s="9">
        <v>9930</v>
      </c>
      <c r="P15" s="9">
        <f t="shared" si="3"/>
        <v>119.67953759999999</v>
      </c>
      <c r="Q15" s="13">
        <v>240</v>
      </c>
      <c r="R15" s="9">
        <v>700</v>
      </c>
      <c r="S15" s="7">
        <f t="shared" si="4"/>
        <v>168</v>
      </c>
    </row>
    <row r="16" spans="1:19" x14ac:dyDescent="0.3">
      <c r="A16" s="23" t="s">
        <v>39</v>
      </c>
      <c r="B16" s="48">
        <v>3406.4319999999998</v>
      </c>
      <c r="C16" s="49">
        <v>1121</v>
      </c>
      <c r="D16" s="50">
        <f t="shared" si="0"/>
        <v>3818.6102719999999</v>
      </c>
      <c r="E16" s="50" t="s">
        <v>62</v>
      </c>
      <c r="F16" s="26"/>
      <c r="G16" s="26"/>
      <c r="H16" s="26">
        <v>1401.5840000000001</v>
      </c>
      <c r="I16" s="26">
        <v>600.25729999999999</v>
      </c>
      <c r="J16" s="26">
        <f t="shared" si="1"/>
        <v>841.31102756320001</v>
      </c>
      <c r="K16" s="31">
        <v>259</v>
      </c>
      <c r="L16" s="33">
        <v>18000</v>
      </c>
      <c r="M16" s="28">
        <f t="shared" si="2"/>
        <v>4662</v>
      </c>
      <c r="N16" s="13">
        <v>182.22929999999999</v>
      </c>
      <c r="O16" s="9">
        <v>21500</v>
      </c>
      <c r="P16" s="9">
        <f t="shared" si="3"/>
        <v>3917.9299499999997</v>
      </c>
      <c r="Q16" s="13">
        <f>_xlfn.IFNA(VLOOKUP(A16,[1]SESAME!C$3:D$21,2,0),"")</f>
        <v>498.22250000000003</v>
      </c>
      <c r="R16" s="9">
        <v>700</v>
      </c>
      <c r="S16" s="7">
        <f t="shared" si="4"/>
        <v>348.75574999999998</v>
      </c>
    </row>
    <row r="17" spans="1:33" x14ac:dyDescent="0.3">
      <c r="A17" s="23" t="s">
        <v>14</v>
      </c>
      <c r="B17" s="48">
        <v>16681.37</v>
      </c>
      <c r="C17" s="49">
        <v>1050</v>
      </c>
      <c r="D17" s="50">
        <f t="shared" si="0"/>
        <v>17515.4385</v>
      </c>
      <c r="E17" s="50" t="s">
        <v>62</v>
      </c>
      <c r="F17" s="26"/>
      <c r="G17" s="26"/>
      <c r="H17" s="26">
        <v>590.96090000000004</v>
      </c>
      <c r="I17" s="26">
        <v>672</v>
      </c>
      <c r="J17" s="26">
        <f t="shared" si="1"/>
        <v>397.1257248</v>
      </c>
      <c r="K17" s="31">
        <v>852</v>
      </c>
      <c r="L17" s="27">
        <v>21000</v>
      </c>
      <c r="M17" s="28">
        <f t="shared" si="2"/>
        <v>17892</v>
      </c>
      <c r="N17" s="18">
        <v>954.32960000000003</v>
      </c>
      <c r="O17" s="9">
        <v>32000</v>
      </c>
      <c r="P17" s="9">
        <f t="shared" si="3"/>
        <v>30538.547200000001</v>
      </c>
      <c r="Q17" s="13">
        <v>140</v>
      </c>
      <c r="R17" s="9">
        <v>950</v>
      </c>
      <c r="S17" s="7">
        <f>Q17/R17*1000</f>
        <v>147.36842105263156</v>
      </c>
    </row>
    <row r="18" spans="1:33" x14ac:dyDescent="0.3">
      <c r="A18" s="23" t="s">
        <v>32</v>
      </c>
      <c r="B18" s="48">
        <v>51504.09</v>
      </c>
      <c r="C18" s="49">
        <v>1045</v>
      </c>
      <c r="D18" s="50">
        <f t="shared" si="0"/>
        <v>53821.77405</v>
      </c>
      <c r="E18" s="50" t="s">
        <v>62</v>
      </c>
      <c r="F18" s="26"/>
      <c r="G18" s="26"/>
      <c r="H18" s="26">
        <v>1393.788</v>
      </c>
      <c r="I18" s="26">
        <v>600.22109999999998</v>
      </c>
      <c r="J18" s="26">
        <f t="shared" si="1"/>
        <v>836.5809665267999</v>
      </c>
      <c r="K18" s="31">
        <v>270</v>
      </c>
      <c r="L18" s="27">
        <v>20000</v>
      </c>
      <c r="M18" s="28">
        <f t="shared" si="2"/>
        <v>5400</v>
      </c>
      <c r="N18" s="18">
        <v>921.33540000000005</v>
      </c>
      <c r="O18" s="9">
        <v>20000</v>
      </c>
      <c r="P18" s="9">
        <f t="shared" si="3"/>
        <v>18426.707999999999</v>
      </c>
      <c r="Q18" s="18">
        <v>3715.377</v>
      </c>
      <c r="R18" s="9">
        <v>800</v>
      </c>
      <c r="S18" s="7">
        <f t="shared" si="4"/>
        <v>2972.3016000000002</v>
      </c>
    </row>
    <row r="19" spans="1:33" x14ac:dyDescent="0.3">
      <c r="A19" s="23" t="s">
        <v>29</v>
      </c>
      <c r="B19" s="48">
        <v>420.89830000000001</v>
      </c>
      <c r="C19" s="49">
        <v>650</v>
      </c>
      <c r="D19" s="50">
        <f t="shared" si="0"/>
        <v>273.58389500000004</v>
      </c>
      <c r="E19" s="50" t="s">
        <v>62</v>
      </c>
      <c r="F19" s="26"/>
      <c r="G19" s="26"/>
      <c r="H19" s="26">
        <v>1442.425</v>
      </c>
      <c r="I19" s="26">
        <v>600.38459999999998</v>
      </c>
      <c r="J19" s="26">
        <f t="shared" si="1"/>
        <v>866.00975665499993</v>
      </c>
      <c r="K19" s="27">
        <v>0</v>
      </c>
      <c r="L19" s="27">
        <v>0</v>
      </c>
      <c r="M19" s="28">
        <f t="shared" si="2"/>
        <v>0</v>
      </c>
      <c r="N19" s="18">
        <v>293.6336</v>
      </c>
      <c r="O19" s="9">
        <v>7000</v>
      </c>
      <c r="P19" s="9">
        <f t="shared" si="3"/>
        <v>2055.4351999999999</v>
      </c>
      <c r="Q19" s="13">
        <v>0</v>
      </c>
      <c r="R19" s="9"/>
      <c r="S19" s="7">
        <f t="shared" si="4"/>
        <v>0</v>
      </c>
    </row>
    <row r="20" spans="1:33" s="6" customFormat="1" x14ac:dyDescent="0.3">
      <c r="A20" s="23" t="s">
        <v>15</v>
      </c>
      <c r="B20" s="48">
        <v>28628.97</v>
      </c>
      <c r="C20" s="49">
        <v>1189.222</v>
      </c>
      <c r="D20" s="50">
        <f t="shared" si="0"/>
        <v>34046.200961340001</v>
      </c>
      <c r="E20" s="50" t="s">
        <v>62</v>
      </c>
      <c r="F20" s="26"/>
      <c r="G20" s="26"/>
      <c r="H20" s="26">
        <v>469.87310000000002</v>
      </c>
      <c r="I20" s="26">
        <v>783</v>
      </c>
      <c r="J20" s="26">
        <f t="shared" si="1"/>
        <v>367.91063730000002</v>
      </c>
      <c r="K20" s="31">
        <v>1203</v>
      </c>
      <c r="L20" s="27">
        <v>15000</v>
      </c>
      <c r="M20" s="28">
        <f t="shared" si="2"/>
        <v>18045</v>
      </c>
      <c r="N20" s="13">
        <v>3522.4580000000001</v>
      </c>
      <c r="O20" s="9">
        <v>32000</v>
      </c>
      <c r="P20" s="9">
        <f t="shared" si="3"/>
        <v>112718.656</v>
      </c>
      <c r="Q20" s="18">
        <v>215.54060000000001</v>
      </c>
      <c r="R20" s="9">
        <v>950</v>
      </c>
      <c r="S20" s="8">
        <f>Q20/R20*1000</f>
        <v>226.88484210526317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x14ac:dyDescent="0.3">
      <c r="A21" s="23" t="s">
        <v>20</v>
      </c>
      <c r="B21" s="48">
        <v>26779.8</v>
      </c>
      <c r="C21" s="49">
        <v>784</v>
      </c>
      <c r="D21" s="50">
        <f t="shared" si="0"/>
        <v>20995.3632</v>
      </c>
      <c r="E21" s="50" t="s">
        <v>62</v>
      </c>
      <c r="F21" s="26"/>
      <c r="G21" s="26"/>
      <c r="H21" s="26">
        <v>45308.25</v>
      </c>
      <c r="I21" s="26">
        <v>589.39689999999996</v>
      </c>
      <c r="J21" s="26">
        <f t="shared" si="1"/>
        <v>26704.542094424996</v>
      </c>
      <c r="K21" s="31">
        <v>4386</v>
      </c>
      <c r="L21" s="33">
        <v>10000</v>
      </c>
      <c r="M21" s="28">
        <f t="shared" si="2"/>
        <v>43860</v>
      </c>
      <c r="N21" s="18">
        <v>664.48019999999997</v>
      </c>
      <c r="O21" s="9">
        <v>6000</v>
      </c>
      <c r="P21" s="9">
        <f t="shared" si="3"/>
        <v>3986.8811999999998</v>
      </c>
      <c r="Q21" s="13">
        <v>0</v>
      </c>
      <c r="R21" s="9">
        <v>0</v>
      </c>
      <c r="S21" s="7">
        <f>(Q21*R21)/1000</f>
        <v>0</v>
      </c>
    </row>
    <row r="22" spans="1:33" x14ac:dyDescent="0.3">
      <c r="A22" s="23" t="s">
        <v>35</v>
      </c>
      <c r="B22" s="48">
        <v>2517.3670000000002</v>
      </c>
      <c r="C22" s="49">
        <v>1036</v>
      </c>
      <c r="D22" s="50">
        <f t="shared" si="0"/>
        <v>2607.9922120000001</v>
      </c>
      <c r="E22" s="50">
        <v>944.25</v>
      </c>
      <c r="F22" s="26">
        <v>1262.650781043156</v>
      </c>
      <c r="G22" s="26">
        <v>1192.258</v>
      </c>
      <c r="H22" s="26">
        <v>0</v>
      </c>
      <c r="I22" s="26">
        <v>0</v>
      </c>
      <c r="J22" s="26">
        <f t="shared" si="1"/>
        <v>0</v>
      </c>
      <c r="K22" s="27">
        <v>21.23066</v>
      </c>
      <c r="L22" s="33">
        <v>18000</v>
      </c>
      <c r="M22" s="28">
        <f t="shared" si="2"/>
        <v>382.15188000000001</v>
      </c>
      <c r="N22" s="13">
        <v>0</v>
      </c>
      <c r="O22" s="9">
        <v>0</v>
      </c>
      <c r="P22" s="9">
        <f t="shared" si="3"/>
        <v>0</v>
      </c>
      <c r="Q22" s="13">
        <v>0</v>
      </c>
      <c r="R22" s="9">
        <v>0</v>
      </c>
      <c r="S22" s="7">
        <f t="shared" si="4"/>
        <v>0</v>
      </c>
    </row>
    <row r="23" spans="1:33" x14ac:dyDescent="0.3">
      <c r="A23" s="23" t="s">
        <v>26</v>
      </c>
      <c r="B23" s="48">
        <v>32887.599999999999</v>
      </c>
      <c r="C23" s="49">
        <v>1223.2660000000001</v>
      </c>
      <c r="D23" s="50">
        <f t="shared" si="0"/>
        <v>40230.282901600003</v>
      </c>
      <c r="E23" s="50">
        <f>758.25+346.25</f>
        <v>1104.5</v>
      </c>
      <c r="F23" s="26">
        <v>1072.0932548664555</v>
      </c>
      <c r="G23" s="26">
        <f>849.518+334.609</f>
        <v>1184.127</v>
      </c>
      <c r="H23" s="26">
        <v>1370.415</v>
      </c>
      <c r="I23" s="26">
        <v>599.10609999999997</v>
      </c>
      <c r="J23" s="26">
        <f t="shared" si="1"/>
        <v>821.02398603149993</v>
      </c>
      <c r="K23" s="31">
        <v>422</v>
      </c>
      <c r="L23" s="27">
        <v>10000</v>
      </c>
      <c r="M23" s="28">
        <f t="shared" si="2"/>
        <v>4220</v>
      </c>
      <c r="N23" s="18">
        <v>526.42740000000003</v>
      </c>
      <c r="O23" s="9">
        <v>16000</v>
      </c>
      <c r="P23" s="9">
        <f t="shared" si="3"/>
        <v>8422.8384000000005</v>
      </c>
      <c r="Q23" s="13">
        <f>_xlfn.IFNA(VLOOKUP(A23,[1]SESAME!C$3:D$21,2,0),"")</f>
        <v>2204.011</v>
      </c>
      <c r="R23" s="9">
        <v>900</v>
      </c>
      <c r="S23" s="7">
        <f t="shared" si="4"/>
        <v>1983.6098999999999</v>
      </c>
    </row>
    <row r="24" spans="1:33" x14ac:dyDescent="0.3">
      <c r="A24" s="23" t="s">
        <v>33</v>
      </c>
      <c r="B24" s="48">
        <v>69453.8</v>
      </c>
      <c r="C24" s="49">
        <v>1091.529</v>
      </c>
      <c r="D24" s="50">
        <f t="shared" si="0"/>
        <v>75810.836860199997</v>
      </c>
      <c r="E24" s="50">
        <v>169.5</v>
      </c>
      <c r="F24" s="26">
        <v>825.61651917404129</v>
      </c>
      <c r="G24" s="26">
        <v>139.94200000000001</v>
      </c>
      <c r="H24" s="26">
        <v>0</v>
      </c>
      <c r="I24" s="26">
        <v>0</v>
      </c>
      <c r="J24" s="26">
        <f t="shared" si="1"/>
        <v>0</v>
      </c>
      <c r="K24" s="31">
        <v>96</v>
      </c>
      <c r="L24" s="27">
        <v>15000</v>
      </c>
      <c r="M24" s="28">
        <f t="shared" si="2"/>
        <v>1440</v>
      </c>
      <c r="N24" s="18">
        <v>242.5266</v>
      </c>
      <c r="O24" s="9">
        <v>25000</v>
      </c>
      <c r="P24" s="9">
        <f t="shared" si="3"/>
        <v>6063.165</v>
      </c>
      <c r="Q24" s="18">
        <v>6559.9539999999997</v>
      </c>
      <c r="R24" s="9">
        <v>700</v>
      </c>
      <c r="S24" s="7">
        <f t="shared" si="4"/>
        <v>4591.9677999999994</v>
      </c>
    </row>
    <row r="25" spans="1:33" x14ac:dyDescent="0.3">
      <c r="A25" s="23" t="s">
        <v>61</v>
      </c>
      <c r="B25" s="48">
        <v>40360.959999999999</v>
      </c>
      <c r="C25" s="49">
        <v>1212.162</v>
      </c>
      <c r="D25" s="50">
        <f t="shared" si="0"/>
        <v>48924.021995520001</v>
      </c>
      <c r="E25" s="50"/>
      <c r="F25" s="26"/>
      <c r="G25" s="26"/>
      <c r="H25" s="26">
        <v>950</v>
      </c>
      <c r="I25" s="26">
        <v>600</v>
      </c>
      <c r="J25" s="26">
        <f t="shared" si="1"/>
        <v>570</v>
      </c>
      <c r="K25" s="27">
        <v>463</v>
      </c>
      <c r="L25" s="27">
        <v>11000</v>
      </c>
      <c r="M25" s="28">
        <f t="shared" si="2"/>
        <v>5093</v>
      </c>
      <c r="N25" s="18">
        <v>130.86009999999999</v>
      </c>
      <c r="O25" s="9">
        <v>15000</v>
      </c>
      <c r="P25" s="9">
        <f t="shared" si="3"/>
        <v>1962.9014999999997</v>
      </c>
      <c r="Q25" s="18">
        <v>2702.1480000000001</v>
      </c>
      <c r="R25" s="9">
        <v>800</v>
      </c>
      <c r="S25" s="7">
        <f t="shared" si="4"/>
        <v>2161.7183999999997</v>
      </c>
    </row>
    <row r="26" spans="1:33" x14ac:dyDescent="0.3">
      <c r="A26" s="23" t="s">
        <v>21</v>
      </c>
      <c r="B26" s="48">
        <v>27787.17</v>
      </c>
      <c r="C26" s="49">
        <v>724</v>
      </c>
      <c r="D26" s="50">
        <f t="shared" si="0"/>
        <v>20117.911079999998</v>
      </c>
      <c r="E26" s="50"/>
      <c r="F26" s="26"/>
      <c r="G26" s="26"/>
      <c r="H26" s="26">
        <v>19847.16</v>
      </c>
      <c r="I26" s="26">
        <v>596.32910000000004</v>
      </c>
      <c r="J26" s="26">
        <f t="shared" si="1"/>
        <v>11835.439060356</v>
      </c>
      <c r="K26" s="27">
        <v>472</v>
      </c>
      <c r="L26" s="27">
        <v>10000</v>
      </c>
      <c r="M26" s="28">
        <f t="shared" si="2"/>
        <v>4720</v>
      </c>
      <c r="N26" s="13">
        <v>3198.3980000000001</v>
      </c>
      <c r="O26" s="9">
        <v>11000</v>
      </c>
      <c r="P26" s="9">
        <f t="shared" si="3"/>
        <v>35182.377999999997</v>
      </c>
      <c r="Q26" s="13">
        <f>_xlfn.IFNA(VLOOKUP(A26,[1]SESAME!C$3:D$21,2,0),"")</f>
        <v>201.09399999999999</v>
      </c>
      <c r="R26" s="9">
        <v>500</v>
      </c>
      <c r="S26" s="7">
        <f t="shared" si="4"/>
        <v>100.547</v>
      </c>
    </row>
    <row r="27" spans="1:33" x14ac:dyDescent="0.3">
      <c r="A27" s="23" t="s">
        <v>22</v>
      </c>
      <c r="B27" s="48">
        <v>33519.14</v>
      </c>
      <c r="C27" s="49">
        <v>745</v>
      </c>
      <c r="D27" s="50">
        <f t="shared" si="0"/>
        <v>24971.759300000002</v>
      </c>
      <c r="E27" s="50"/>
      <c r="F27" s="26"/>
      <c r="G27" s="26"/>
      <c r="H27" s="26">
        <v>67054.850000000006</v>
      </c>
      <c r="I27" s="26">
        <v>595.24739999999997</v>
      </c>
      <c r="J27" s="26">
        <f t="shared" si="1"/>
        <v>39914.225119890005</v>
      </c>
      <c r="K27" s="31">
        <v>57.277830000000002</v>
      </c>
      <c r="L27" s="27">
        <v>9900</v>
      </c>
      <c r="M27" s="28">
        <f t="shared" si="2"/>
        <v>567.05051700000001</v>
      </c>
      <c r="N27" s="18">
        <v>4840.3980000000001</v>
      </c>
      <c r="O27" s="9">
        <v>10665</v>
      </c>
      <c r="P27" s="9">
        <f t="shared" si="3"/>
        <v>51622.844669999999</v>
      </c>
      <c r="Q27" s="13">
        <v>0</v>
      </c>
      <c r="R27" s="9"/>
      <c r="S27" s="7">
        <f t="shared" si="4"/>
        <v>0</v>
      </c>
    </row>
    <row r="28" spans="1:33" x14ac:dyDescent="0.3">
      <c r="A28" s="23" t="s">
        <v>34</v>
      </c>
      <c r="B28" s="48">
        <v>26988.7</v>
      </c>
      <c r="C28" s="49">
        <v>1132</v>
      </c>
      <c r="D28" s="50">
        <f t="shared" si="0"/>
        <v>30551.208400000003</v>
      </c>
      <c r="E28" s="50"/>
      <c r="F28" s="26"/>
      <c r="G28" s="26"/>
      <c r="H28" s="26">
        <v>800</v>
      </c>
      <c r="I28" s="26">
        <v>600</v>
      </c>
      <c r="J28" s="26">
        <f t="shared" si="1"/>
        <v>480</v>
      </c>
      <c r="K28" s="27">
        <v>0</v>
      </c>
      <c r="L28" s="27">
        <v>0</v>
      </c>
      <c r="M28" s="28">
        <f t="shared" si="2"/>
        <v>0</v>
      </c>
      <c r="N28" s="13">
        <v>241.54150000000001</v>
      </c>
      <c r="O28" s="9">
        <v>27000</v>
      </c>
      <c r="P28" s="9">
        <f t="shared" si="3"/>
        <v>6521.6205</v>
      </c>
      <c r="Q28" s="13">
        <f>_xlfn.IFNA(VLOOKUP(A28,[1]SESAME!C$3:D$21,2,0),"")</f>
        <v>785.01049999999998</v>
      </c>
      <c r="R28" s="9">
        <v>800</v>
      </c>
      <c r="S28" s="7">
        <f t="shared" si="4"/>
        <v>628.00840000000005</v>
      </c>
    </row>
    <row r="29" spans="1:33" x14ac:dyDescent="0.3">
      <c r="A29" s="23" t="s">
        <v>30</v>
      </c>
      <c r="B29" s="48">
        <v>852.20240000000001</v>
      </c>
      <c r="C29" s="49">
        <v>520</v>
      </c>
      <c r="D29" s="50">
        <f t="shared" si="0"/>
        <v>443.14524800000004</v>
      </c>
      <c r="E29" s="50"/>
      <c r="F29" s="26"/>
      <c r="G29" s="26"/>
      <c r="H29" s="26">
        <v>6140.1959999999999</v>
      </c>
      <c r="I29" s="26">
        <v>600</v>
      </c>
      <c r="J29" s="26">
        <f t="shared" si="1"/>
        <v>3684.1176</v>
      </c>
      <c r="K29" s="27">
        <v>185</v>
      </c>
      <c r="L29" s="27">
        <v>10000</v>
      </c>
      <c r="M29" s="28">
        <f t="shared" si="2"/>
        <v>1850</v>
      </c>
      <c r="N29" s="13">
        <v>255.96270000000001</v>
      </c>
      <c r="O29" s="9">
        <v>7000</v>
      </c>
      <c r="P29" s="9">
        <f t="shared" si="3"/>
        <v>1791.7389000000001</v>
      </c>
      <c r="Q29" s="13">
        <v>0</v>
      </c>
      <c r="R29" s="9" t="s">
        <v>62</v>
      </c>
      <c r="S29" s="7"/>
    </row>
    <row r="30" spans="1:33" ht="13.95" customHeight="1" x14ac:dyDescent="0.3">
      <c r="A30" s="23" t="s">
        <v>7</v>
      </c>
      <c r="B30" s="48">
        <v>26191.040000000001</v>
      </c>
      <c r="C30" s="49">
        <v>745</v>
      </c>
      <c r="D30" s="50">
        <f t="shared" si="0"/>
        <v>19512.324800000002</v>
      </c>
      <c r="E30" s="50"/>
      <c r="F30" s="26"/>
      <c r="G30" s="26"/>
      <c r="H30" s="26">
        <v>10111.39</v>
      </c>
      <c r="I30" s="26">
        <v>595.14639999999997</v>
      </c>
      <c r="J30" s="26">
        <f t="shared" si="1"/>
        <v>6017.7573574959988</v>
      </c>
      <c r="K30" s="27">
        <v>3862</v>
      </c>
      <c r="L30" s="27">
        <v>8500</v>
      </c>
      <c r="M30" s="28">
        <f t="shared" si="2"/>
        <v>32827</v>
      </c>
      <c r="N30" s="13">
        <v>1768.4059999999999</v>
      </c>
      <c r="O30" s="9">
        <v>13000</v>
      </c>
      <c r="P30" s="9">
        <f t="shared" si="3"/>
        <v>22989.277999999998</v>
      </c>
      <c r="Q30" s="13">
        <f>_xlfn.IFNA(VLOOKUP(A30,[1]SESAME!C$3:D$21,2,0),"")</f>
        <v>1700.798</v>
      </c>
      <c r="R30" s="9">
        <v>600</v>
      </c>
      <c r="S30" s="7">
        <f t="shared" si="4"/>
        <v>1020.4788000000001</v>
      </c>
      <c r="V30" s="9"/>
    </row>
    <row r="31" spans="1:33" x14ac:dyDescent="0.3">
      <c r="A31" s="23" t="s">
        <v>17</v>
      </c>
      <c r="B31" s="48">
        <v>16185.31</v>
      </c>
      <c r="C31" s="49">
        <v>712.55</v>
      </c>
      <c r="D31" s="50">
        <f t="shared" si="0"/>
        <v>11532.842640499999</v>
      </c>
      <c r="E31" s="50"/>
      <c r="F31" s="26"/>
      <c r="G31" s="26"/>
      <c r="H31" s="26">
        <v>1623.2819999999999</v>
      </c>
      <c r="I31" s="26">
        <v>600</v>
      </c>
      <c r="J31" s="26">
        <f t="shared" si="1"/>
        <v>973.9692</v>
      </c>
      <c r="K31" s="31">
        <v>8259</v>
      </c>
      <c r="L31" s="33">
        <v>13500</v>
      </c>
      <c r="M31" s="28">
        <f t="shared" si="2"/>
        <v>111496.5</v>
      </c>
      <c r="N31" s="18">
        <v>198.9213</v>
      </c>
      <c r="O31" s="9">
        <v>12000</v>
      </c>
      <c r="P31" s="9">
        <f t="shared" si="3"/>
        <v>2387.0556000000001</v>
      </c>
      <c r="Q31" s="13">
        <v>0</v>
      </c>
      <c r="R31" s="9">
        <v>0</v>
      </c>
      <c r="S31" s="7">
        <f t="shared" si="4"/>
        <v>0</v>
      </c>
      <c r="V31" s="9"/>
    </row>
    <row r="32" spans="1:33" x14ac:dyDescent="0.3">
      <c r="A32" s="23" t="s">
        <v>68</v>
      </c>
      <c r="B32" s="48">
        <v>41871.03</v>
      </c>
      <c r="C32" s="49">
        <v>1100</v>
      </c>
      <c r="D32" s="50">
        <f t="shared" si="0"/>
        <v>46058.133000000002</v>
      </c>
      <c r="E32" s="50">
        <v>350</v>
      </c>
      <c r="F32" s="32">
        <v>1012.1342857142856</v>
      </c>
      <c r="G32" s="26">
        <v>354.24700000000001</v>
      </c>
      <c r="H32" s="26">
        <v>115.1084</v>
      </c>
      <c r="I32" s="32">
        <v>600</v>
      </c>
      <c r="J32" s="26">
        <f t="shared" si="1"/>
        <v>69.06504000000001</v>
      </c>
      <c r="K32" s="27">
        <v>603</v>
      </c>
      <c r="L32" s="27">
        <v>11000</v>
      </c>
      <c r="M32" s="28">
        <f t="shared" si="2"/>
        <v>6633</v>
      </c>
      <c r="N32" s="13"/>
      <c r="O32" s="9"/>
      <c r="P32" s="9">
        <f t="shared" si="3"/>
        <v>0</v>
      </c>
      <c r="Q32" s="18">
        <v>505.71510000000001</v>
      </c>
      <c r="R32" s="9">
        <v>900</v>
      </c>
      <c r="S32" s="7">
        <f t="shared" si="4"/>
        <v>455.14359000000002</v>
      </c>
      <c r="V32" s="9"/>
    </row>
    <row r="33" spans="1:22" x14ac:dyDescent="0.3">
      <c r="A33" s="23" t="s">
        <v>16</v>
      </c>
      <c r="B33" s="48">
        <v>45258.66</v>
      </c>
      <c r="C33" s="49">
        <v>1280.7439999999999</v>
      </c>
      <c r="D33" s="50">
        <f t="shared" si="0"/>
        <v>57964.757243040003</v>
      </c>
      <c r="E33" s="50"/>
      <c r="F33" s="26"/>
      <c r="G33" s="26"/>
      <c r="H33" s="26">
        <v>900</v>
      </c>
      <c r="I33" s="26">
        <v>600</v>
      </c>
      <c r="J33" s="26">
        <f t="shared" si="1"/>
        <v>540</v>
      </c>
      <c r="K33" s="27">
        <v>2949</v>
      </c>
      <c r="L33" s="27">
        <v>22000</v>
      </c>
      <c r="M33" s="28">
        <f t="shared" si="2"/>
        <v>64878</v>
      </c>
      <c r="N33" s="18">
        <v>2368.2150000000001</v>
      </c>
      <c r="O33" s="9">
        <v>32000</v>
      </c>
      <c r="P33" s="9">
        <f t="shared" si="3"/>
        <v>75782.880000000005</v>
      </c>
      <c r="Q33" s="18">
        <v>99.815529999999995</v>
      </c>
      <c r="R33" s="9">
        <v>950</v>
      </c>
      <c r="S33" s="7">
        <f t="shared" si="4"/>
        <v>94.824753499999986</v>
      </c>
      <c r="V33" s="9"/>
    </row>
    <row r="34" spans="1:22" x14ac:dyDescent="0.3">
      <c r="A34" s="23" t="s">
        <v>3</v>
      </c>
      <c r="B34" s="48">
        <v>367.51080000000002</v>
      </c>
      <c r="C34" s="49">
        <v>1007.296</v>
      </c>
      <c r="D34" s="50">
        <f t="shared" si="0"/>
        <v>370.19215879680002</v>
      </c>
      <c r="E34" s="50"/>
      <c r="F34" s="26"/>
      <c r="G34" s="26"/>
      <c r="H34" s="26">
        <v>135.93450000000001</v>
      </c>
      <c r="I34" s="26">
        <v>600</v>
      </c>
      <c r="J34" s="26">
        <f t="shared" si="1"/>
        <v>81.560700000000011</v>
      </c>
      <c r="K34" s="27">
        <v>264</v>
      </c>
      <c r="L34" s="27">
        <v>9000</v>
      </c>
      <c r="M34" s="28">
        <f t="shared" si="2"/>
        <v>2376</v>
      </c>
      <c r="N34" s="9">
        <v>0</v>
      </c>
      <c r="O34" s="9">
        <v>0</v>
      </c>
      <c r="P34" s="9">
        <f t="shared" si="3"/>
        <v>0</v>
      </c>
      <c r="Q34" s="9">
        <v>0</v>
      </c>
      <c r="R34" s="9"/>
      <c r="S34" s="7">
        <f t="shared" si="4"/>
        <v>0</v>
      </c>
      <c r="V34" s="9"/>
    </row>
    <row r="35" spans="1:22" x14ac:dyDescent="0.3">
      <c r="A35" s="23" t="s">
        <v>9</v>
      </c>
      <c r="B35" s="48">
        <v>0</v>
      </c>
      <c r="C35" s="49">
        <v>0</v>
      </c>
      <c r="D35" s="50">
        <f t="shared" si="0"/>
        <v>0</v>
      </c>
      <c r="E35" s="50"/>
      <c r="F35" s="26"/>
      <c r="G35" s="26"/>
      <c r="H35" s="26">
        <v>1225.722</v>
      </c>
      <c r="I35" s="26">
        <v>600</v>
      </c>
      <c r="J35" s="26">
        <f t="shared" si="1"/>
        <v>735.43319999999994</v>
      </c>
      <c r="K35" s="27">
        <v>184</v>
      </c>
      <c r="L35" s="27">
        <v>6000</v>
      </c>
      <c r="M35" s="28">
        <f t="shared" si="2"/>
        <v>1104</v>
      </c>
      <c r="N35" s="13">
        <v>1028.5840000000001</v>
      </c>
      <c r="O35" s="9">
        <v>8000</v>
      </c>
      <c r="P35" s="9">
        <f t="shared" si="3"/>
        <v>8228.6720000000005</v>
      </c>
      <c r="Q35" s="9">
        <v>0</v>
      </c>
      <c r="R35" s="9">
        <v>0</v>
      </c>
      <c r="S35" s="7">
        <f t="shared" si="4"/>
        <v>0</v>
      </c>
      <c r="V35" s="9"/>
    </row>
    <row r="36" spans="1:22" x14ac:dyDescent="0.3">
      <c r="A36" s="23" t="s">
        <v>31</v>
      </c>
      <c r="B36" s="48">
        <v>1121</v>
      </c>
      <c r="C36" s="49">
        <v>500</v>
      </c>
      <c r="D36" s="50">
        <f t="shared" si="0"/>
        <v>560.5</v>
      </c>
      <c r="E36" s="50"/>
      <c r="F36" s="26"/>
      <c r="G36" s="26"/>
      <c r="H36" s="26">
        <v>0</v>
      </c>
      <c r="I36" s="26">
        <v>0</v>
      </c>
      <c r="J36" s="26">
        <f t="shared" si="1"/>
        <v>0</v>
      </c>
      <c r="K36" s="27">
        <v>0</v>
      </c>
      <c r="L36" s="27">
        <v>0</v>
      </c>
      <c r="M36" s="28">
        <f t="shared" si="2"/>
        <v>0</v>
      </c>
      <c r="N36" s="13">
        <v>51.270629999999997</v>
      </c>
      <c r="O36" s="9">
        <v>10000</v>
      </c>
      <c r="P36" s="9">
        <f t="shared" si="3"/>
        <v>512.70629999999994</v>
      </c>
      <c r="Q36" s="9">
        <v>0</v>
      </c>
      <c r="R36" s="9">
        <v>0</v>
      </c>
      <c r="S36" s="7">
        <f t="shared" si="4"/>
        <v>0</v>
      </c>
      <c r="V36" s="9"/>
    </row>
    <row r="37" spans="1:22" x14ac:dyDescent="0.3">
      <c r="A37" s="23" t="s">
        <v>1</v>
      </c>
      <c r="B37" s="48">
        <v>1255.0840000000001</v>
      </c>
      <c r="C37" s="49">
        <v>769.52710000000002</v>
      </c>
      <c r="D37" s="50">
        <f t="shared" si="0"/>
        <v>965.82115077640015</v>
      </c>
      <c r="E37" s="50"/>
      <c r="F37" s="26"/>
      <c r="G37" s="26"/>
      <c r="H37" s="26">
        <v>101.7825</v>
      </c>
      <c r="I37" s="26">
        <v>600</v>
      </c>
      <c r="J37" s="26">
        <f t="shared" si="1"/>
        <v>61.069499999999998</v>
      </c>
      <c r="K37" s="27">
        <v>429</v>
      </c>
      <c r="L37" s="27">
        <v>7000</v>
      </c>
      <c r="M37" s="28">
        <f t="shared" si="2"/>
        <v>3003</v>
      </c>
      <c r="N37" s="9">
        <v>0</v>
      </c>
      <c r="O37" s="9">
        <v>0</v>
      </c>
      <c r="P37" s="9">
        <f t="shared" si="3"/>
        <v>0</v>
      </c>
      <c r="Q37" s="9">
        <v>0</v>
      </c>
      <c r="R37" s="9"/>
      <c r="S37" s="7">
        <f t="shared" si="4"/>
        <v>0</v>
      </c>
      <c r="V37" s="9"/>
    </row>
    <row r="38" spans="1:22" x14ac:dyDescent="0.3">
      <c r="A38" s="23" t="s">
        <v>10</v>
      </c>
      <c r="B38" s="48">
        <v>796.92259999999999</v>
      </c>
      <c r="C38" s="49">
        <v>512</v>
      </c>
      <c r="D38" s="50">
        <f t="shared" si="0"/>
        <v>408.02437120000002</v>
      </c>
      <c r="E38" s="50"/>
      <c r="F38" s="26"/>
      <c r="G38" s="26"/>
      <c r="H38" s="26">
        <v>2257.6849999999999</v>
      </c>
      <c r="I38" s="26">
        <v>600</v>
      </c>
      <c r="J38" s="26">
        <f t="shared" si="1"/>
        <v>1354.6110000000001</v>
      </c>
      <c r="K38" s="27">
        <v>0</v>
      </c>
      <c r="L38" s="27">
        <v>0</v>
      </c>
      <c r="M38" s="28">
        <f t="shared" si="2"/>
        <v>0</v>
      </c>
      <c r="N38" s="13">
        <v>1326.1489999999999</v>
      </c>
      <c r="O38" s="9">
        <v>11000</v>
      </c>
      <c r="P38" s="9">
        <f t="shared" si="3"/>
        <v>14587.638999999997</v>
      </c>
      <c r="Q38" s="9">
        <v>0</v>
      </c>
      <c r="R38" s="9"/>
      <c r="S38" s="7">
        <v>0</v>
      </c>
    </row>
    <row r="39" spans="1:22" x14ac:dyDescent="0.3">
      <c r="A39" s="23" t="s">
        <v>36</v>
      </c>
      <c r="B39" s="48">
        <v>1809.173</v>
      </c>
      <c r="C39" s="49">
        <v>1005.643</v>
      </c>
      <c r="D39" s="50">
        <f t="shared" si="0"/>
        <v>1819.3821632390002</v>
      </c>
      <c r="E39" s="50"/>
      <c r="F39" s="26"/>
      <c r="G39" s="26"/>
      <c r="H39" s="26">
        <v>0</v>
      </c>
      <c r="I39" s="26">
        <v>0</v>
      </c>
      <c r="J39" s="26">
        <f t="shared" si="1"/>
        <v>0</v>
      </c>
      <c r="K39" s="27">
        <v>132</v>
      </c>
      <c r="L39" s="27">
        <v>18000</v>
      </c>
      <c r="M39" s="28">
        <f t="shared" si="2"/>
        <v>2376</v>
      </c>
      <c r="N39" s="13">
        <v>0</v>
      </c>
      <c r="O39" s="9">
        <v>0</v>
      </c>
      <c r="P39" s="9">
        <f t="shared" si="3"/>
        <v>0</v>
      </c>
      <c r="Q39" s="9">
        <v>0</v>
      </c>
      <c r="R39" s="9" t="s">
        <v>62</v>
      </c>
      <c r="S39" s="7"/>
    </row>
    <row r="40" spans="1:22" x14ac:dyDescent="0.3">
      <c r="A40" s="23" t="s">
        <v>37</v>
      </c>
      <c r="B40" s="48">
        <v>3211.23</v>
      </c>
      <c r="C40" s="49">
        <v>1012</v>
      </c>
      <c r="D40" s="50">
        <f t="shared" si="0"/>
        <v>3249.76476</v>
      </c>
      <c r="E40" s="50">
        <v>1407.75</v>
      </c>
      <c r="F40" s="26">
        <v>1316.8019889895224</v>
      </c>
      <c r="G40" s="26">
        <v>1853.7280000000001</v>
      </c>
      <c r="H40" s="26">
        <v>92.265429999999995</v>
      </c>
      <c r="I40" s="26">
        <v>600</v>
      </c>
      <c r="J40" s="26">
        <f t="shared" si="1"/>
        <v>55.359257999999997</v>
      </c>
      <c r="K40" s="28">
        <v>50</v>
      </c>
      <c r="L40" s="29">
        <v>18000</v>
      </c>
      <c r="M40" s="28">
        <f t="shared" si="2"/>
        <v>900</v>
      </c>
      <c r="N40" s="13">
        <v>0</v>
      </c>
      <c r="O40" s="9">
        <v>0</v>
      </c>
      <c r="P40" s="9">
        <f t="shared" si="3"/>
        <v>0</v>
      </c>
      <c r="Q40" s="9">
        <v>0</v>
      </c>
      <c r="R40" s="9" t="s">
        <v>62</v>
      </c>
      <c r="S40" s="7"/>
    </row>
    <row r="41" spans="1:22" x14ac:dyDescent="0.3">
      <c r="A41" s="23" t="s">
        <v>40</v>
      </c>
      <c r="B41" s="48">
        <v>7552.6210000000001</v>
      </c>
      <c r="C41" s="49">
        <v>1119.69</v>
      </c>
      <c r="D41" s="50">
        <f t="shared" si="0"/>
        <v>8456.5942074900013</v>
      </c>
      <c r="E41" s="50"/>
      <c r="F41" s="32"/>
      <c r="G41" s="26"/>
      <c r="H41" s="26">
        <v>2453.2040000000002</v>
      </c>
      <c r="I41" s="32">
        <v>850</v>
      </c>
      <c r="J41" s="26">
        <f t="shared" si="1"/>
        <v>2085.2234000000003</v>
      </c>
      <c r="K41" s="27">
        <v>274</v>
      </c>
      <c r="L41" s="34">
        <v>22000</v>
      </c>
      <c r="M41" s="28">
        <f t="shared" si="2"/>
        <v>6028</v>
      </c>
      <c r="N41" s="18">
        <v>500.85480000000001</v>
      </c>
      <c r="O41" s="9">
        <v>21500</v>
      </c>
      <c r="P41" s="9">
        <f t="shared" si="3"/>
        <v>10768.378200000001</v>
      </c>
      <c r="Q41" s="18">
        <v>860.57439999999997</v>
      </c>
      <c r="R41" s="9">
        <v>700</v>
      </c>
      <c r="S41" s="7">
        <f t="shared" si="4"/>
        <v>602.40207999999996</v>
      </c>
      <c r="T41" s="11"/>
    </row>
    <row r="42" spans="1:22" x14ac:dyDescent="0.3">
      <c r="A42" s="23" t="s">
        <v>13</v>
      </c>
      <c r="B42" s="48">
        <v>33932.550000000003</v>
      </c>
      <c r="C42" s="49">
        <v>1161.732</v>
      </c>
      <c r="D42" s="50">
        <f t="shared" si="0"/>
        <v>39420.529176600001</v>
      </c>
      <c r="E42" s="50">
        <v>3177.25</v>
      </c>
      <c r="F42" s="26">
        <v>1279.0051144857975</v>
      </c>
      <c r="G42" s="26">
        <v>4063.7190000000001</v>
      </c>
      <c r="H42" s="26">
        <v>6308.9620000000004</v>
      </c>
      <c r="I42" s="26">
        <v>600</v>
      </c>
      <c r="J42" s="26">
        <f t="shared" si="1"/>
        <v>3785.3772000000004</v>
      </c>
      <c r="K42" s="35">
        <v>105.0226</v>
      </c>
      <c r="L42" s="29">
        <v>13000</v>
      </c>
      <c r="M42" s="28">
        <f t="shared" si="2"/>
        <v>1365.2938000000001</v>
      </c>
      <c r="N42" s="13">
        <v>0</v>
      </c>
      <c r="O42" s="9">
        <v>0</v>
      </c>
      <c r="P42" s="9">
        <f t="shared" si="3"/>
        <v>0</v>
      </c>
      <c r="Q42" s="13">
        <f>_xlfn.IFNA(VLOOKUP(A42,[1]SESAME!C$3:D$21,2,0),"")</f>
        <v>107.548</v>
      </c>
      <c r="R42" s="9">
        <v>800</v>
      </c>
      <c r="S42" s="7">
        <f t="shared" si="4"/>
        <v>86.038399999999996</v>
      </c>
      <c r="V42" s="1" t="s">
        <v>64</v>
      </c>
    </row>
    <row r="43" spans="1:22" x14ac:dyDescent="0.3">
      <c r="A43" s="23" t="s">
        <v>18</v>
      </c>
      <c r="B43" s="48">
        <v>18117.32</v>
      </c>
      <c r="C43" s="49">
        <v>796</v>
      </c>
      <c r="D43" s="50">
        <f t="shared" si="0"/>
        <v>14421.38672</v>
      </c>
      <c r="E43" s="50" t="s">
        <v>62</v>
      </c>
      <c r="F43" s="26"/>
      <c r="G43" s="26"/>
      <c r="H43" s="26">
        <v>4620.3850000000002</v>
      </c>
      <c r="I43" s="26">
        <v>597.56650000000002</v>
      </c>
      <c r="J43" s="26">
        <f t="shared" si="1"/>
        <v>2760.9872931025002</v>
      </c>
      <c r="K43" s="35">
        <v>7895</v>
      </c>
      <c r="L43" s="34">
        <v>13500</v>
      </c>
      <c r="M43" s="28">
        <f t="shared" si="2"/>
        <v>106582.5</v>
      </c>
      <c r="N43" s="18">
        <v>423.97890000000001</v>
      </c>
      <c r="O43" s="9">
        <v>12000</v>
      </c>
      <c r="P43" s="9">
        <f t="shared" si="3"/>
        <v>5087.7467999999999</v>
      </c>
      <c r="Q43" s="13">
        <v>0</v>
      </c>
      <c r="R43" s="9">
        <v>0</v>
      </c>
      <c r="S43" s="7">
        <f t="shared" si="4"/>
        <v>0</v>
      </c>
    </row>
    <row r="44" spans="1:22" x14ac:dyDescent="0.3">
      <c r="A44" s="23" t="s">
        <v>19</v>
      </c>
      <c r="B44" s="48">
        <v>10992.14</v>
      </c>
      <c r="C44" s="49">
        <v>728</v>
      </c>
      <c r="D44" s="50">
        <f t="shared" si="0"/>
        <v>8002.2779199999995</v>
      </c>
      <c r="E44" s="50" t="s">
        <v>62</v>
      </c>
      <c r="F44" s="26"/>
      <c r="G44" s="26"/>
      <c r="H44" s="26">
        <v>3191.8919999999998</v>
      </c>
      <c r="I44" s="26">
        <v>598.66669999999999</v>
      </c>
      <c r="J44" s="26">
        <f t="shared" si="1"/>
        <v>1910.8794503964</v>
      </c>
      <c r="K44" s="35">
        <v>14513</v>
      </c>
      <c r="L44" s="34">
        <v>15000</v>
      </c>
      <c r="M44" s="28">
        <f t="shared" si="2"/>
        <v>217695</v>
      </c>
      <c r="N44" s="13">
        <v>243.8348</v>
      </c>
      <c r="O44" s="9">
        <v>8000</v>
      </c>
      <c r="P44" s="9">
        <f t="shared" si="3"/>
        <v>1950.6784</v>
      </c>
      <c r="Q44" s="13">
        <v>0</v>
      </c>
      <c r="R44" s="9"/>
      <c r="S44" s="7">
        <f t="shared" si="4"/>
        <v>0</v>
      </c>
    </row>
    <row r="45" spans="1:22" x14ac:dyDescent="0.3">
      <c r="A45" s="23" t="s">
        <v>28</v>
      </c>
      <c r="B45" s="48">
        <v>27556.05</v>
      </c>
      <c r="C45" s="49">
        <v>1087.7049999999999</v>
      </c>
      <c r="D45" s="50">
        <f t="shared" si="0"/>
        <v>29972.853365249997</v>
      </c>
      <c r="E45" s="50">
        <v>5166.25</v>
      </c>
      <c r="F45" s="26">
        <v>1275.3716912654247</v>
      </c>
      <c r="G45" s="26">
        <v>6588.8890000000001</v>
      </c>
      <c r="H45" s="26">
        <v>122.14709999999999</v>
      </c>
      <c r="I45" s="26">
        <v>599.46870000000001</v>
      </c>
      <c r="J45" s="26">
        <f t="shared" si="1"/>
        <v>73.223363245770003</v>
      </c>
      <c r="K45" s="35">
        <v>267.54059999999998</v>
      </c>
      <c r="L45" s="34">
        <v>6500</v>
      </c>
      <c r="M45" s="28">
        <f t="shared" si="2"/>
        <v>1739.0138999999999</v>
      </c>
      <c r="N45" s="13">
        <v>106.45059999999999</v>
      </c>
      <c r="O45" s="9">
        <v>16000</v>
      </c>
      <c r="P45" s="9">
        <f t="shared" si="3"/>
        <v>1703.2095999999999</v>
      </c>
      <c r="Q45" s="18">
        <v>150</v>
      </c>
      <c r="R45" s="9">
        <v>750</v>
      </c>
      <c r="S45" s="7">
        <f t="shared" si="4"/>
        <v>112.5</v>
      </c>
    </row>
    <row r="46" spans="1:22" ht="15" thickBot="1" x14ac:dyDescent="0.35">
      <c r="A46" s="24" t="s">
        <v>4</v>
      </c>
      <c r="B46" s="48">
        <v>930.80340000000001</v>
      </c>
      <c r="C46" s="49">
        <v>988</v>
      </c>
      <c r="D46" s="50">
        <f t="shared" si="0"/>
        <v>919.63375919999999</v>
      </c>
      <c r="E46" s="50" t="s">
        <v>62</v>
      </c>
      <c r="F46" s="26"/>
      <c r="G46" s="26"/>
      <c r="H46" s="46">
        <v>156.99359999999999</v>
      </c>
      <c r="I46" s="26">
        <v>650</v>
      </c>
      <c r="J46" s="26">
        <f t="shared" si="1"/>
        <v>102.04584</v>
      </c>
      <c r="K46" s="27">
        <v>58</v>
      </c>
      <c r="L46" s="29">
        <v>10000</v>
      </c>
      <c r="M46" s="28">
        <f t="shared" si="2"/>
        <v>580</v>
      </c>
      <c r="N46" s="13">
        <v>76.761960000000002</v>
      </c>
      <c r="O46" s="9">
        <v>15000</v>
      </c>
      <c r="P46" s="9">
        <f t="shared" si="3"/>
        <v>1151.4294000000002</v>
      </c>
      <c r="Q46" s="18">
        <v>152.89599999999999</v>
      </c>
      <c r="R46" s="9">
        <v>800</v>
      </c>
      <c r="S46" s="12">
        <f t="shared" si="4"/>
        <v>122.31679999999999</v>
      </c>
    </row>
    <row r="47" spans="1:22" ht="16.8" thickTop="1" thickBot="1" x14ac:dyDescent="0.35">
      <c r="A47" s="25" t="s">
        <v>72</v>
      </c>
      <c r="B47" s="14">
        <f>SUM(B5:B46)</f>
        <v>780071.65690000029</v>
      </c>
      <c r="C47" s="30">
        <f>(D47/B47)*1000</f>
        <v>1019.8865868832621</v>
      </c>
      <c r="D47" s="14">
        <f>SUM(D5:D46)</f>
        <v>795584.61968011234</v>
      </c>
      <c r="E47" s="30">
        <f>SUM(E5:E46)</f>
        <v>12319.5</v>
      </c>
      <c r="F47" s="14">
        <f>(G47/E47)*1000</f>
        <v>1248.17646820082</v>
      </c>
      <c r="G47" s="14">
        <f>SUM(G5:G46)</f>
        <v>15376.91</v>
      </c>
      <c r="H47" s="47">
        <f>SUM(H5:H46)</f>
        <v>205879.44818000004</v>
      </c>
      <c r="I47" s="30">
        <f>(J47/H47)*1000</f>
        <v>599.34440968868205</v>
      </c>
      <c r="J47" s="14">
        <f>SUM(J5:J46)</f>
        <v>123392.69633647373</v>
      </c>
      <c r="K47" s="14">
        <f>SUM(K5:K46)</f>
        <v>55438.071690000004</v>
      </c>
      <c r="L47" s="30">
        <f>(M47/K47)*1000</f>
        <v>13334.764135209769</v>
      </c>
      <c r="M47" s="14">
        <f>SUM(M5:M46)</f>
        <v>739253.61009700003</v>
      </c>
      <c r="N47" s="14">
        <f>SUM(N5:N46)</f>
        <v>42273.258210000007</v>
      </c>
      <c r="O47" s="14">
        <f>(P47/N47)*1000</f>
        <v>15078.041555046717</v>
      </c>
      <c r="P47" s="14">
        <f>SUM(P5:P46)</f>
        <v>637397.94395759993</v>
      </c>
      <c r="Q47" s="14">
        <f>SUM(Q5:Q46)</f>
        <v>24915.822630000006</v>
      </c>
      <c r="R47" s="14">
        <f>(S47/Q47)*1000</f>
        <v>745.44226022441751</v>
      </c>
      <c r="S47" s="14">
        <f>SUM(S5:S46)</f>
        <v>18573.307136657895</v>
      </c>
    </row>
    <row r="48" spans="1:22" ht="16.2" thickTop="1" x14ac:dyDescent="0.3">
      <c r="A48" s="5" t="s">
        <v>70</v>
      </c>
      <c r="K48" s="20"/>
    </row>
    <row r="49" spans="2:3" x14ac:dyDescent="0.3">
      <c r="B49"/>
      <c r="C49"/>
    </row>
    <row r="50" spans="2:3" x14ac:dyDescent="0.3">
      <c r="B50"/>
      <c r="C50"/>
    </row>
    <row r="51" spans="2:3" x14ac:dyDescent="0.3">
      <c r="B51"/>
      <c r="C51"/>
    </row>
    <row r="52" spans="2:3" x14ac:dyDescent="0.3">
      <c r="B52"/>
      <c r="C52"/>
    </row>
    <row r="53" spans="2:3" x14ac:dyDescent="0.3">
      <c r="B53"/>
      <c r="C53"/>
    </row>
    <row r="54" spans="2:3" x14ac:dyDescent="0.3">
      <c r="B54"/>
      <c r="C54"/>
    </row>
    <row r="55" spans="2:3" x14ac:dyDescent="0.3">
      <c r="B55"/>
      <c r="C55"/>
    </row>
    <row r="56" spans="2:3" x14ac:dyDescent="0.3">
      <c r="B56"/>
      <c r="C56"/>
    </row>
    <row r="57" spans="2:3" x14ac:dyDescent="0.3">
      <c r="B57"/>
      <c r="C57"/>
    </row>
    <row r="58" spans="2:3" x14ac:dyDescent="0.3">
      <c r="B58"/>
      <c r="C58"/>
    </row>
    <row r="59" spans="2:3" x14ac:dyDescent="0.3">
      <c r="B59"/>
      <c r="C59"/>
    </row>
    <row r="60" spans="2:3" x14ac:dyDescent="0.3">
      <c r="B60"/>
      <c r="C60"/>
    </row>
    <row r="61" spans="2:3" x14ac:dyDescent="0.3">
      <c r="B61"/>
      <c r="C61"/>
    </row>
    <row r="62" spans="2:3" x14ac:dyDescent="0.3">
      <c r="B62"/>
      <c r="C62"/>
    </row>
    <row r="63" spans="2:3" x14ac:dyDescent="0.3">
      <c r="B63"/>
      <c r="C63"/>
    </row>
    <row r="64" spans="2:3" x14ac:dyDescent="0.3">
      <c r="B64"/>
      <c r="C64"/>
    </row>
    <row r="65" spans="2:3" x14ac:dyDescent="0.3">
      <c r="B65"/>
      <c r="C65"/>
    </row>
    <row r="66" spans="2:3" x14ac:dyDescent="0.3">
      <c r="B66"/>
      <c r="C66"/>
    </row>
    <row r="67" spans="2:3" x14ac:dyDescent="0.3">
      <c r="B67"/>
      <c r="C67"/>
    </row>
    <row r="68" spans="2:3" x14ac:dyDescent="0.3">
      <c r="B68"/>
      <c r="C68"/>
    </row>
    <row r="69" spans="2:3" x14ac:dyDescent="0.3">
      <c r="B69"/>
      <c r="C69"/>
    </row>
    <row r="70" spans="2:3" x14ac:dyDescent="0.3">
      <c r="B70"/>
      <c r="C70"/>
    </row>
    <row r="71" spans="2:3" x14ac:dyDescent="0.3">
      <c r="B71"/>
      <c r="C71"/>
    </row>
    <row r="72" spans="2:3" x14ac:dyDescent="0.3">
      <c r="B72"/>
      <c r="C72"/>
    </row>
    <row r="73" spans="2:3" x14ac:dyDescent="0.3">
      <c r="B73"/>
      <c r="C73"/>
    </row>
    <row r="74" spans="2:3" x14ac:dyDescent="0.3">
      <c r="B74"/>
      <c r="C74"/>
    </row>
    <row r="75" spans="2:3" x14ac:dyDescent="0.3">
      <c r="B75"/>
      <c r="C75"/>
    </row>
    <row r="76" spans="2:3" x14ac:dyDescent="0.3">
      <c r="B76"/>
      <c r="C76"/>
    </row>
    <row r="77" spans="2:3" x14ac:dyDescent="0.3">
      <c r="B77"/>
      <c r="C77"/>
    </row>
    <row r="78" spans="2:3" x14ac:dyDescent="0.3">
      <c r="B78"/>
      <c r="C78"/>
    </row>
    <row r="79" spans="2:3" x14ac:dyDescent="0.3">
      <c r="B79"/>
      <c r="C79"/>
    </row>
    <row r="80" spans="2:3" x14ac:dyDescent="0.3">
      <c r="B80"/>
      <c r="C80"/>
    </row>
    <row r="81" spans="2:4" x14ac:dyDescent="0.3">
      <c r="B81"/>
      <c r="C81"/>
    </row>
    <row r="82" spans="2:4" x14ac:dyDescent="0.3">
      <c r="B82"/>
      <c r="C82"/>
    </row>
    <row r="83" spans="2:4" x14ac:dyDescent="0.3">
      <c r="B83"/>
      <c r="C83"/>
    </row>
    <row r="84" spans="2:4" x14ac:dyDescent="0.3">
      <c r="B84"/>
      <c r="C84"/>
    </row>
    <row r="85" spans="2:4" x14ac:dyDescent="0.3">
      <c r="B85"/>
      <c r="C85"/>
    </row>
    <row r="86" spans="2:4" x14ac:dyDescent="0.3">
      <c r="B86"/>
      <c r="C86"/>
    </row>
    <row r="88" spans="2:4" x14ac:dyDescent="0.3">
      <c r="B88"/>
      <c r="C88"/>
    </row>
    <row r="89" spans="2:4" x14ac:dyDescent="0.3">
      <c r="B89"/>
      <c r="C89"/>
    </row>
    <row r="96" spans="2:4" x14ac:dyDescent="0.3">
      <c r="B96" s="42"/>
      <c r="D96" s="41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CULTURES CEREALIERES</vt:lpstr>
      <vt:lpstr>CULTURES INDUST ET AUTRES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DSDIA</dc:creator>
  <cp:lastModifiedBy>HP</cp:lastModifiedBy>
  <dcterms:created xsi:type="dcterms:W3CDTF">2022-10-28T15:16:01Z</dcterms:created>
  <dcterms:modified xsi:type="dcterms:W3CDTF">2025-04-27T20:18:00Z</dcterms:modified>
</cp:coreProperties>
</file>