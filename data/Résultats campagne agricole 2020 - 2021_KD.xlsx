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1970" windowHeight="5070" firstSheet="2" activeTab="2"/>
  </bookViews>
  <sheets>
    <sheet name="CEREALES" sheetId="3" r:id="rId1"/>
    <sheet name="CULTURES INDUSTRIELLES" sheetId="2" r:id="rId2"/>
    <sheet name="REGION DE KOLDA" sheetId="1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3" i="3"/>
  <c r="O23"/>
  <c r="N23"/>
  <c r="Q23" s="1"/>
  <c r="M23"/>
  <c r="L23"/>
  <c r="K23"/>
  <c r="J23"/>
  <c r="R23" s="1"/>
  <c r="I23"/>
  <c r="H23"/>
  <c r="G23"/>
  <c r="F23"/>
  <c r="E23"/>
  <c r="D23"/>
  <c r="C23"/>
  <c r="B23"/>
  <c r="P22"/>
  <c r="O22"/>
  <c r="N22"/>
  <c r="Q22" s="1"/>
  <c r="M22"/>
  <c r="R22" s="1"/>
  <c r="L22"/>
  <c r="K22"/>
  <c r="J22"/>
  <c r="I22"/>
  <c r="H22"/>
  <c r="G22"/>
  <c r="F22"/>
  <c r="E22"/>
  <c r="M21"/>
  <c r="R21" s="1"/>
  <c r="L21"/>
  <c r="K21"/>
  <c r="J21"/>
  <c r="I21"/>
  <c r="H21"/>
  <c r="G21"/>
  <c r="F21"/>
  <c r="E21"/>
  <c r="D21"/>
  <c r="C21"/>
  <c r="B21"/>
  <c r="Q21" s="1"/>
  <c r="M20"/>
  <c r="L20"/>
  <c r="K20"/>
  <c r="Q20" s="1"/>
  <c r="J20"/>
  <c r="R20" s="1"/>
  <c r="I20"/>
  <c r="H20"/>
  <c r="G20"/>
  <c r="F20"/>
  <c r="E20"/>
  <c r="D20"/>
  <c r="C20"/>
  <c r="B20"/>
  <c r="M19"/>
  <c r="R19" s="1"/>
  <c r="L19"/>
  <c r="K19"/>
  <c r="J19"/>
  <c r="I19"/>
  <c r="H19"/>
  <c r="G19"/>
  <c r="F19"/>
  <c r="E19"/>
  <c r="D19"/>
  <c r="C19"/>
  <c r="B19"/>
  <c r="Q19" s="1"/>
  <c r="J18"/>
  <c r="I18"/>
  <c r="H18"/>
  <c r="Q18" s="1"/>
  <c r="G18"/>
  <c r="R18" s="1"/>
  <c r="F18"/>
  <c r="E18"/>
  <c r="D18"/>
  <c r="C18"/>
  <c r="B18"/>
  <c r="P17"/>
  <c r="O17"/>
  <c r="N17"/>
  <c r="Q17" s="1"/>
  <c r="M17"/>
  <c r="L17"/>
  <c r="K17"/>
  <c r="J17"/>
  <c r="R17" s="1"/>
  <c r="I17"/>
  <c r="H17"/>
  <c r="G17"/>
  <c r="F17"/>
  <c r="E17"/>
  <c r="D17"/>
  <c r="C17"/>
  <c r="B17"/>
  <c r="M16"/>
  <c r="L16"/>
  <c r="K16"/>
  <c r="Q16" s="1"/>
  <c r="J16"/>
  <c r="R16" s="1"/>
  <c r="I16"/>
  <c r="H16"/>
  <c r="G16"/>
  <c r="F16"/>
  <c r="E16"/>
  <c r="D16"/>
  <c r="C16"/>
  <c r="B16"/>
  <c r="Q15"/>
  <c r="J15"/>
  <c r="R15" s="1"/>
  <c r="I15"/>
  <c r="H15"/>
  <c r="G15"/>
  <c r="F15"/>
  <c r="E15"/>
  <c r="D15"/>
  <c r="C15"/>
  <c r="B15"/>
  <c r="P14"/>
  <c r="P26" s="1"/>
  <c r="O14"/>
  <c r="N14"/>
  <c r="N26" s="1"/>
  <c r="M14"/>
  <c r="L14"/>
  <c r="K14"/>
  <c r="J14"/>
  <c r="I14"/>
  <c r="H14"/>
  <c r="G14"/>
  <c r="F14"/>
  <c r="E14"/>
  <c r="D14"/>
  <c r="C14"/>
  <c r="B14"/>
  <c r="M13"/>
  <c r="R13" s="1"/>
  <c r="L13"/>
  <c r="K13"/>
  <c r="J13"/>
  <c r="I13"/>
  <c r="H13"/>
  <c r="G13"/>
  <c r="F13"/>
  <c r="E13"/>
  <c r="D13"/>
  <c r="C13"/>
  <c r="B13"/>
  <c r="Q13" s="1"/>
  <c r="M12"/>
  <c r="L12"/>
  <c r="K12"/>
  <c r="K26" s="1"/>
  <c r="J12"/>
  <c r="R12" s="1"/>
  <c r="I12"/>
  <c r="H12"/>
  <c r="G12"/>
  <c r="F12"/>
  <c r="E12"/>
  <c r="D12"/>
  <c r="D26" s="1"/>
  <c r="C12"/>
  <c r="B12"/>
  <c r="Q11"/>
  <c r="J11"/>
  <c r="R11" s="1"/>
  <c r="I11"/>
  <c r="H11"/>
  <c r="G11"/>
  <c r="G26" s="1"/>
  <c r="F11"/>
  <c r="E11"/>
  <c r="E26" s="1"/>
  <c r="D11"/>
  <c r="C11"/>
  <c r="B11"/>
  <c r="B26" s="1"/>
  <c r="J10"/>
  <c r="R10" s="1"/>
  <c r="I10"/>
  <c r="H10"/>
  <c r="H26" s="1"/>
  <c r="G38" i="2"/>
  <c r="F38"/>
  <c r="G32"/>
  <c r="F32"/>
  <c r="I29"/>
  <c r="E26"/>
  <c r="E32" s="1"/>
  <c r="S24"/>
  <c r="R24"/>
  <c r="Q24"/>
  <c r="P24"/>
  <c r="O24"/>
  <c r="N24"/>
  <c r="M24"/>
  <c r="L24"/>
  <c r="K24"/>
  <c r="J24"/>
  <c r="I24"/>
  <c r="H24"/>
  <c r="D24"/>
  <c r="C24"/>
  <c r="B24"/>
  <c r="J23"/>
  <c r="I23"/>
  <c r="H23"/>
  <c r="D23"/>
  <c r="C23"/>
  <c r="B23"/>
  <c r="S22"/>
  <c r="R22"/>
  <c r="Q22"/>
  <c r="P22"/>
  <c r="O22"/>
  <c r="N22"/>
  <c r="M22"/>
  <c r="L22"/>
  <c r="K22"/>
  <c r="J22"/>
  <c r="I22"/>
  <c r="H22"/>
  <c r="D22"/>
  <c r="C22"/>
  <c r="B22"/>
  <c r="P21"/>
  <c r="O21"/>
  <c r="N21"/>
  <c r="M21"/>
  <c r="L21"/>
  <c r="K21"/>
  <c r="J21"/>
  <c r="I21"/>
  <c r="H21"/>
  <c r="D21"/>
  <c r="C21"/>
  <c r="B21"/>
  <c r="S20"/>
  <c r="R20"/>
  <c r="Q20"/>
  <c r="P20"/>
  <c r="O20"/>
  <c r="N20"/>
  <c r="M20"/>
  <c r="L20"/>
  <c r="K20"/>
  <c r="J20"/>
  <c r="I20"/>
  <c r="H20"/>
  <c r="D20"/>
  <c r="C20"/>
  <c r="B20"/>
  <c r="S19"/>
  <c r="R19"/>
  <c r="Q19"/>
  <c r="P19"/>
  <c r="O19"/>
  <c r="N19"/>
  <c r="M19"/>
  <c r="L19"/>
  <c r="K19"/>
  <c r="J19"/>
  <c r="I19"/>
  <c r="H19"/>
  <c r="D19"/>
  <c r="C19"/>
  <c r="B19"/>
  <c r="S18"/>
  <c r="R18"/>
  <c r="Q18"/>
  <c r="P18"/>
  <c r="O18"/>
  <c r="N18"/>
  <c r="M18"/>
  <c r="L18"/>
  <c r="K18"/>
  <c r="J18"/>
  <c r="I18"/>
  <c r="H18"/>
  <c r="D18"/>
  <c r="C18"/>
  <c r="B18"/>
  <c r="P17"/>
  <c r="O17"/>
  <c r="N17"/>
  <c r="M17"/>
  <c r="L17"/>
  <c r="K17"/>
  <c r="J17"/>
  <c r="I17"/>
  <c r="H17"/>
  <c r="D17"/>
  <c r="C17"/>
  <c r="B17"/>
  <c r="S16"/>
  <c r="R16"/>
  <c r="Q16"/>
  <c r="P16"/>
  <c r="O16"/>
  <c r="N16"/>
  <c r="M16"/>
  <c r="L16"/>
  <c r="K16"/>
  <c r="J16"/>
  <c r="I16"/>
  <c r="H16"/>
  <c r="D16"/>
  <c r="C16"/>
  <c r="B16"/>
  <c r="S15"/>
  <c r="R15"/>
  <c r="Q15"/>
  <c r="Q26" s="1"/>
  <c r="P15"/>
  <c r="O15"/>
  <c r="N15"/>
  <c r="M15"/>
  <c r="M26" s="1"/>
  <c r="L15"/>
  <c r="K15"/>
  <c r="J15"/>
  <c r="I15"/>
  <c r="H15"/>
  <c r="D15"/>
  <c r="C15"/>
  <c r="B15"/>
  <c r="S14"/>
  <c r="R14"/>
  <c r="Q14"/>
  <c r="P14"/>
  <c r="O14"/>
  <c r="N14"/>
  <c r="M14"/>
  <c r="L14"/>
  <c r="K14"/>
  <c r="J14"/>
  <c r="I14"/>
  <c r="H14"/>
  <c r="D14"/>
  <c r="C14"/>
  <c r="B14"/>
  <c r="S13"/>
  <c r="R13"/>
  <c r="Q13"/>
  <c r="P13"/>
  <c r="O13"/>
  <c r="N13"/>
  <c r="M13"/>
  <c r="L13"/>
  <c r="K13"/>
  <c r="J13"/>
  <c r="I13"/>
  <c r="H13"/>
  <c r="D13"/>
  <c r="C13"/>
  <c r="B13"/>
  <c r="S12"/>
  <c r="S26" s="1"/>
  <c r="R12"/>
  <c r="Q12"/>
  <c r="P12"/>
  <c r="O12"/>
  <c r="N12"/>
  <c r="M12"/>
  <c r="L12"/>
  <c r="K12"/>
  <c r="J12"/>
  <c r="I12"/>
  <c r="H12"/>
  <c r="D12"/>
  <c r="C12"/>
  <c r="B12"/>
  <c r="P11"/>
  <c r="P26" s="1"/>
  <c r="O11"/>
  <c r="N11"/>
  <c r="N26" s="1"/>
  <c r="M11"/>
  <c r="L11"/>
  <c r="K11"/>
  <c r="K26" s="1"/>
  <c r="J11"/>
  <c r="J26" s="1"/>
  <c r="I11"/>
  <c r="H11"/>
  <c r="H26" s="1"/>
  <c r="D11"/>
  <c r="D26" s="1"/>
  <c r="C11"/>
  <c r="B11"/>
  <c r="B26" s="1"/>
  <c r="J46" i="1"/>
  <c r="I46" s="1"/>
  <c r="H46"/>
  <c r="G46"/>
  <c r="F46"/>
  <c r="E46"/>
  <c r="B46"/>
  <c r="B50" s="1"/>
  <c r="J44"/>
  <c r="G44"/>
  <c r="J43"/>
  <c r="D43"/>
  <c r="J42"/>
  <c r="D42"/>
  <c r="D46" s="1"/>
  <c r="S36"/>
  <c r="N36"/>
  <c r="K36"/>
  <c r="J36"/>
  <c r="D36"/>
  <c r="S32"/>
  <c r="Q32"/>
  <c r="Q36" s="1"/>
  <c r="P32"/>
  <c r="P36" s="1"/>
  <c r="N32"/>
  <c r="O32" s="1"/>
  <c r="O36" s="1"/>
  <c r="M32"/>
  <c r="M36" s="1"/>
  <c r="K32"/>
  <c r="J32"/>
  <c r="I32"/>
  <c r="I36" s="1"/>
  <c r="H32"/>
  <c r="H36" s="1"/>
  <c r="D32"/>
  <c r="B32"/>
  <c r="B36" s="1"/>
  <c r="K21"/>
  <c r="G21"/>
  <c r="P17"/>
  <c r="O17" s="1"/>
  <c r="O21" s="1"/>
  <c r="N17"/>
  <c r="N21" s="1"/>
  <c r="M17"/>
  <c r="M21" s="1"/>
  <c r="L17"/>
  <c r="L21" s="1"/>
  <c r="K17"/>
  <c r="J17"/>
  <c r="J21" s="1"/>
  <c r="H17"/>
  <c r="H21" s="1"/>
  <c r="G17"/>
  <c r="E17"/>
  <c r="E21" s="1"/>
  <c r="D17"/>
  <c r="C17" s="1"/>
  <c r="C21" s="1"/>
  <c r="B17"/>
  <c r="B21" s="1"/>
  <c r="R15"/>
  <c r="Q15"/>
  <c r="R14"/>
  <c r="Q14"/>
  <c r="R13"/>
  <c r="Q13"/>
  <c r="R12"/>
  <c r="Q12"/>
  <c r="R11"/>
  <c r="Q11"/>
  <c r="R10"/>
  <c r="Q10"/>
  <c r="R9"/>
  <c r="R17" s="1"/>
  <c r="R21" s="1"/>
  <c r="Q9"/>
  <c r="Q17" s="1"/>
  <c r="Q21" s="1"/>
  <c r="N38" i="3" l="1"/>
  <c r="N32"/>
  <c r="E38"/>
  <c r="E32"/>
  <c r="K32"/>
  <c r="K38"/>
  <c r="B38"/>
  <c r="B32"/>
  <c r="Q26"/>
  <c r="C26"/>
  <c r="D38"/>
  <c r="R26"/>
  <c r="D32"/>
  <c r="O26"/>
  <c r="P38"/>
  <c r="P32"/>
  <c r="H38"/>
  <c r="H32"/>
  <c r="G32"/>
  <c r="F26"/>
  <c r="G38"/>
  <c r="M26"/>
  <c r="Q10"/>
  <c r="Q14"/>
  <c r="J26"/>
  <c r="Q12"/>
  <c r="R14"/>
  <c r="D38" i="2"/>
  <c r="D32"/>
  <c r="C26"/>
  <c r="S38"/>
  <c r="S32"/>
  <c r="R26"/>
  <c r="H38"/>
  <c r="H32"/>
  <c r="P32"/>
  <c r="O26"/>
  <c r="P38"/>
  <c r="B38"/>
  <c r="B32"/>
  <c r="K38"/>
  <c r="K32"/>
  <c r="I26"/>
  <c r="J38"/>
  <c r="J32"/>
  <c r="N32"/>
  <c r="N38"/>
  <c r="M32"/>
  <c r="L26"/>
  <c r="M38"/>
  <c r="Q32"/>
  <c r="Q38"/>
  <c r="E38"/>
  <c r="D50" i="1"/>
  <c r="C46"/>
  <c r="C50" s="1"/>
  <c r="D21"/>
  <c r="C32"/>
  <c r="C36" s="1"/>
  <c r="R32"/>
  <c r="R36" s="1"/>
  <c r="F17"/>
  <c r="F21" s="1"/>
  <c r="I17"/>
  <c r="I21" s="1"/>
  <c r="P21"/>
  <c r="L32"/>
  <c r="L36" s="1"/>
  <c r="R38" i="3" l="1"/>
  <c r="R32"/>
  <c r="L26"/>
  <c r="M38"/>
  <c r="M32"/>
  <c r="O32"/>
  <c r="O38"/>
  <c r="C32"/>
  <c r="C38"/>
  <c r="F38"/>
  <c r="F32"/>
  <c r="J38"/>
  <c r="J32"/>
  <c r="I26"/>
  <c r="Q38"/>
  <c r="Q32"/>
  <c r="C38" i="2"/>
  <c r="C32"/>
  <c r="L32"/>
  <c r="L38"/>
  <c r="O38"/>
  <c r="O32"/>
  <c r="R38"/>
  <c r="R32"/>
  <c r="I32"/>
  <c r="I38"/>
  <c r="I38" i="3" l="1"/>
  <c r="I32"/>
  <c r="L38"/>
  <c r="L32"/>
</calcChain>
</file>

<file path=xl/sharedStrings.xml><?xml version="1.0" encoding="utf-8"?>
<sst xmlns="http://schemas.openxmlformats.org/spreadsheetml/2006/main" count="272" uniqueCount="70">
  <si>
    <t>REGION DE KOLDA</t>
  </si>
  <si>
    <t>RESULTATS DEFINITIFS DE LA CAMPAGNE AGRICOLE 2020/2021</t>
  </si>
  <si>
    <t xml:space="preserve"> </t>
  </si>
  <si>
    <t xml:space="preserve">MIL </t>
  </si>
  <si>
    <t>SORGHO</t>
  </si>
  <si>
    <t>MAIS</t>
  </si>
  <si>
    <t>RIZ</t>
  </si>
  <si>
    <t>FONIO</t>
  </si>
  <si>
    <t xml:space="preserve">  TOTAL CEREALES</t>
  </si>
  <si>
    <t>LOCALITES</t>
  </si>
  <si>
    <t>SUP</t>
  </si>
  <si>
    <t>RDT</t>
  </si>
  <si>
    <t>PROD</t>
  </si>
  <si>
    <t>(Ha)</t>
  </si>
  <si>
    <t>(Kg/Ha)</t>
  </si>
  <si>
    <t>(T)</t>
  </si>
  <si>
    <t>KOLDA</t>
  </si>
  <si>
    <t>MEDINA YORO FOULA</t>
  </si>
  <si>
    <t xml:space="preserve">VELINGARA </t>
  </si>
  <si>
    <t>KOLDA(SODAGRI) Contre-saison</t>
  </si>
  <si>
    <t>MEDINA YORO FOULA(SODAGRI)</t>
  </si>
  <si>
    <t>VELINGARA (SODAGRI irrigué)</t>
  </si>
  <si>
    <t>VELINGARA (SODAGRI)</t>
  </si>
  <si>
    <t xml:space="preserve"> REGION (1)</t>
  </si>
  <si>
    <t>RESULTATS 2019/2020 (2)</t>
  </si>
  <si>
    <t>ECART(1)&amp;(2) en%</t>
  </si>
  <si>
    <t xml:space="preserve">  ARACHIDE HUILERIE</t>
  </si>
  <si>
    <t>COTON</t>
  </si>
  <si>
    <t>NIEBE</t>
  </si>
  <si>
    <t>MANIOC</t>
  </si>
  <si>
    <t>PASTEQUE</t>
  </si>
  <si>
    <t>SESAME</t>
  </si>
  <si>
    <t xml:space="preserve"> KOLDA</t>
  </si>
  <si>
    <t>VELINGARA</t>
  </si>
  <si>
    <t>REGION  (1)</t>
  </si>
  <si>
    <t>GOMBO</t>
  </si>
  <si>
    <t>DIAKHATOU</t>
  </si>
  <si>
    <t>PIMENT</t>
  </si>
  <si>
    <t>Source : DAPSA</t>
  </si>
  <si>
    <t xml:space="preserve">                  RESULTATS DEFINITIFS DE LA CAMPAGNE AGRICOLE 2020/2021</t>
  </si>
  <si>
    <t xml:space="preserve">                                               RECAPITULATIF DES CULTURES INDUSTRIELLES ET AUTRES CULTURES</t>
  </si>
  <si>
    <t xml:space="preserve">COTON </t>
  </si>
  <si>
    <t xml:space="preserve">        PASTEQUE</t>
  </si>
  <si>
    <t xml:space="preserve">SESAME </t>
  </si>
  <si>
    <t>REGIONS</t>
  </si>
  <si>
    <t>DAKAR</t>
  </si>
  <si>
    <t>DIOURBEL</t>
  </si>
  <si>
    <t>FATICK</t>
  </si>
  <si>
    <t>KAOLACK</t>
  </si>
  <si>
    <t xml:space="preserve">KOLDA </t>
  </si>
  <si>
    <t>LOUGA</t>
  </si>
  <si>
    <t>SAINT-LOUIS</t>
  </si>
  <si>
    <t>TAMBACOUNDA</t>
  </si>
  <si>
    <t>THIES</t>
  </si>
  <si>
    <t xml:space="preserve">ZIGUINCHOR </t>
  </si>
  <si>
    <t>MATAM</t>
  </si>
  <si>
    <t>KAFFRINE</t>
  </si>
  <si>
    <t>KEDOUGOU</t>
  </si>
  <si>
    <t>SEDHIOU</t>
  </si>
  <si>
    <t>RESULTATS DEFINITIFS 2020-2021 (1)</t>
  </si>
  <si>
    <t>RESULTATS DEFINITIFS 2019/2020 (2)</t>
  </si>
  <si>
    <t>ECART(1)&amp;(2) EN %</t>
  </si>
  <si>
    <t>MOYENNE 5 DERNIERES ANNEES (3)</t>
  </si>
  <si>
    <t>ECART(1)&amp;(3) EN %</t>
  </si>
  <si>
    <t>SOURCE : SENEGAL, DAPSA/MAER</t>
  </si>
  <si>
    <t xml:space="preserve">       RESULTATS DEFINITIFS DE LA CAMPAGNE AGRICOLE 2020/2021</t>
  </si>
  <si>
    <t xml:space="preserve">                                                           RECAPITULATIF DES CULTURES CEREALIERES</t>
  </si>
  <si>
    <t>MIL</t>
  </si>
  <si>
    <t xml:space="preserve">RIZ </t>
  </si>
  <si>
    <t>TOTAL CEREALES</t>
  </si>
</sst>
</file>

<file path=xl/styles.xml><?xml version="1.0" encoding="utf-8"?>
<styleSheet xmlns="http://schemas.openxmlformats.org/spreadsheetml/2006/main">
  <numFmts count="3">
    <numFmt numFmtId="164" formatCode="#,##0_ ;\-#,##0\ "/>
    <numFmt numFmtId="165" formatCode="0_)"/>
    <numFmt numFmtId="166" formatCode="#,##0_);\(#,##0\)"/>
  </numFmts>
  <fonts count="32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b/>
      <sz val="12"/>
      <color indexed="8"/>
      <name val="Times New Roman"/>
      <family val="1"/>
    </font>
    <font>
      <b/>
      <sz val="12"/>
      <name val="Courier"/>
      <family val="3"/>
    </font>
    <font>
      <b/>
      <sz val="20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b/>
      <sz val="18"/>
      <color indexed="8"/>
      <name val="Arial"/>
      <family val="2"/>
    </font>
    <font>
      <sz val="18"/>
      <color theme="1" tint="0.34998626667073579"/>
      <name val="Arial"/>
      <family val="2"/>
    </font>
    <font>
      <b/>
      <sz val="18"/>
      <color indexed="8"/>
      <name val="Times New Roman"/>
      <family val="1"/>
    </font>
    <font>
      <b/>
      <sz val="18"/>
      <name val="Arial"/>
      <family val="2"/>
    </font>
    <font>
      <b/>
      <sz val="18"/>
      <color theme="1" tint="0.34998626667073579"/>
      <name val="Arial"/>
      <family val="2"/>
    </font>
    <font>
      <sz val="11"/>
      <name val="Calibri"/>
      <family val="2"/>
      <scheme val="minor"/>
    </font>
    <font>
      <sz val="18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Arial Narrow"/>
      <family val="2"/>
    </font>
    <font>
      <sz val="14"/>
      <name val="Times New Roman"/>
      <family val="1"/>
    </font>
    <font>
      <sz val="18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6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3">
    <xf numFmtId="0" fontId="0" fillId="0" borderId="0" xfId="0"/>
    <xf numFmtId="0" fontId="2" fillId="0" borderId="0" xfId="1" applyFont="1"/>
    <xf numFmtId="0" fontId="3" fillId="0" borderId="0" xfId="1" applyFont="1"/>
    <xf numFmtId="0" fontId="2" fillId="2" borderId="0" xfId="1" applyFont="1" applyFill="1"/>
    <xf numFmtId="0" fontId="3" fillId="2" borderId="0" xfId="1" applyFont="1" applyFill="1"/>
    <xf numFmtId="0" fontId="1" fillId="0" borderId="0" xfId="1" applyFont="1"/>
    <xf numFmtId="0" fontId="4" fillId="0" borderId="0" xfId="1" applyFont="1"/>
    <xf numFmtId="0" fontId="1" fillId="2" borderId="0" xfId="1" applyFont="1" applyFill="1"/>
    <xf numFmtId="0" fontId="3" fillId="0" borderId="1" xfId="1" applyFont="1" applyFill="1" applyBorder="1" applyAlignment="1" applyProtection="1">
      <alignment horizontal="center"/>
    </xf>
    <xf numFmtId="0" fontId="3" fillId="0" borderId="1" xfId="1" applyFont="1" applyFill="1" applyBorder="1" applyAlignment="1" applyProtection="1"/>
    <xf numFmtId="0" fontId="3" fillId="0" borderId="2" xfId="1" applyFont="1" applyFill="1" applyBorder="1" applyAlignment="1" applyProtection="1"/>
    <xf numFmtId="0" fontId="3" fillId="0" borderId="1" xfId="1" applyFont="1" applyFill="1" applyBorder="1"/>
    <xf numFmtId="0" fontId="3" fillId="0" borderId="2" xfId="1" applyFont="1" applyFill="1" applyBorder="1"/>
    <xf numFmtId="0" fontId="3" fillId="0" borderId="3" xfId="1" applyFont="1" applyFill="1" applyBorder="1"/>
    <xf numFmtId="0" fontId="3" fillId="0" borderId="3" xfId="1" applyFont="1" applyFill="1" applyBorder="1" applyAlignment="1" applyProtection="1">
      <alignment horizontal="left"/>
    </xf>
    <xf numFmtId="0" fontId="3" fillId="0" borderId="3" xfId="1" applyFont="1" applyFill="1" applyBorder="1" applyAlignment="1" applyProtection="1"/>
    <xf numFmtId="0" fontId="3" fillId="0" borderId="0" xfId="1" applyFont="1" applyAlignment="1" applyProtection="1">
      <alignment horizontal="center"/>
    </xf>
    <xf numFmtId="0" fontId="3" fillId="0" borderId="3" xfId="1" applyFont="1" applyFill="1" applyBorder="1" applyAlignment="1">
      <alignment horizontal="center"/>
    </xf>
    <xf numFmtId="0" fontId="3" fillId="0" borderId="4" xfId="1" applyFont="1" applyFill="1" applyBorder="1" applyAlignment="1" applyProtection="1">
      <alignment horizontal="left" vertical="center"/>
    </xf>
    <xf numFmtId="164" fontId="2" fillId="0" borderId="5" xfId="1" applyNumberFormat="1" applyFont="1" applyFill="1" applyBorder="1" applyProtection="1"/>
    <xf numFmtId="1" fontId="2" fillId="0" borderId="6" xfId="1" applyNumberFormat="1" applyFont="1" applyBorder="1" applyAlignment="1" applyProtection="1">
      <alignment vertical="center"/>
    </xf>
    <xf numFmtId="37" fontId="2" fillId="0" borderId="7" xfId="1" applyNumberFormat="1" applyFont="1" applyBorder="1" applyProtection="1"/>
    <xf numFmtId="37" fontId="2" fillId="0" borderId="6" xfId="1" applyNumberFormat="1" applyFont="1" applyBorder="1" applyProtection="1"/>
    <xf numFmtId="1" fontId="2" fillId="0" borderId="7" xfId="1" applyNumberFormat="1" applyFont="1" applyBorder="1" applyAlignment="1" applyProtection="1">
      <alignment vertical="center"/>
    </xf>
    <xf numFmtId="0" fontId="3" fillId="0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3" fillId="0" borderId="8" xfId="1" applyFont="1" applyFill="1" applyBorder="1" applyAlignment="1" applyProtection="1">
      <alignment horizontal="left" vertical="center"/>
    </xf>
    <xf numFmtId="164" fontId="2" fillId="0" borderId="3" xfId="1" applyNumberFormat="1" applyFont="1" applyFill="1" applyBorder="1" applyProtection="1"/>
    <xf numFmtId="1" fontId="2" fillId="0" borderId="0" xfId="1" applyNumberFormat="1" applyFont="1" applyAlignment="1" applyProtection="1">
      <alignment vertical="center"/>
    </xf>
    <xf numFmtId="37" fontId="2" fillId="0" borderId="9" xfId="1" applyNumberFormat="1" applyFont="1" applyBorder="1" applyProtection="1"/>
    <xf numFmtId="37" fontId="2" fillId="0" borderId="0" xfId="1" applyNumberFormat="1" applyFont="1" applyBorder="1" applyProtection="1"/>
    <xf numFmtId="1" fontId="2" fillId="0" borderId="0" xfId="1" applyNumberFormat="1" applyFont="1" applyBorder="1" applyAlignment="1" applyProtection="1">
      <alignment vertical="center"/>
    </xf>
    <xf numFmtId="1" fontId="2" fillId="0" borderId="9" xfId="1" applyNumberFormat="1" applyFont="1" applyBorder="1" applyAlignment="1" applyProtection="1">
      <alignment vertical="center"/>
    </xf>
    <xf numFmtId="1" fontId="2" fillId="0" borderId="0" xfId="1" applyNumberFormat="1" applyFont="1" applyFill="1" applyBorder="1"/>
    <xf numFmtId="0" fontId="1" fillId="0" borderId="3" xfId="1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3" fillId="0" borderId="10" xfId="1" applyFont="1" applyFill="1" applyBorder="1" applyAlignment="1" applyProtection="1">
      <alignment horizontal="left" vertical="center"/>
    </xf>
    <xf numFmtId="164" fontId="2" fillId="0" borderId="11" xfId="1" applyNumberFormat="1" applyFont="1" applyFill="1" applyBorder="1" applyProtection="1"/>
    <xf numFmtId="1" fontId="2" fillId="0" borderId="12" xfId="1" applyNumberFormat="1" applyFont="1" applyFill="1" applyBorder="1"/>
    <xf numFmtId="37" fontId="2" fillId="0" borderId="13" xfId="1" applyNumberFormat="1" applyFont="1" applyBorder="1" applyProtection="1"/>
    <xf numFmtId="1" fontId="2" fillId="0" borderId="13" xfId="1" applyNumberFormat="1" applyFont="1" applyBorder="1" applyAlignment="1" applyProtection="1">
      <alignment vertical="center"/>
    </xf>
    <xf numFmtId="0" fontId="3" fillId="1" borderId="5" xfId="1" applyFont="1" applyFill="1" applyBorder="1" applyAlignment="1">
      <alignment horizontal="left"/>
    </xf>
    <xf numFmtId="37" fontId="2" fillId="1" borderId="5" xfId="1" applyNumberFormat="1" applyFont="1" applyFill="1" applyBorder="1" applyProtection="1"/>
    <xf numFmtId="37" fontId="2" fillId="1" borderId="6" xfId="1" applyNumberFormat="1" applyFont="1" applyFill="1" applyBorder="1" applyProtection="1"/>
    <xf numFmtId="37" fontId="2" fillId="3" borderId="5" xfId="1" applyNumberFormat="1" applyFont="1" applyFill="1" applyBorder="1" applyProtection="1"/>
    <xf numFmtId="37" fontId="2" fillId="3" borderId="6" xfId="1" applyNumberFormat="1" applyFont="1" applyFill="1" applyBorder="1" applyProtection="1"/>
    <xf numFmtId="37" fontId="2" fillId="0" borderId="3" xfId="1" applyNumberFormat="1" applyFont="1" applyFill="1" applyBorder="1" applyProtection="1"/>
    <xf numFmtId="37" fontId="2" fillId="0" borderId="0" xfId="1" applyNumberFormat="1" applyFont="1" applyFill="1" applyBorder="1" applyProtection="1"/>
    <xf numFmtId="0" fontId="3" fillId="1" borderId="3" xfId="1" applyFont="1" applyFill="1" applyBorder="1" applyAlignment="1">
      <alignment horizontal="left"/>
    </xf>
    <xf numFmtId="37" fontId="2" fillId="1" borderId="3" xfId="1" applyNumberFormat="1" applyFont="1" applyFill="1" applyBorder="1" applyProtection="1"/>
    <xf numFmtId="37" fontId="2" fillId="1" borderId="0" xfId="1" applyNumberFormat="1" applyFont="1" applyFill="1" applyProtection="1"/>
    <xf numFmtId="37" fontId="2" fillId="3" borderId="3" xfId="1" applyNumberFormat="1" applyFont="1" applyFill="1" applyBorder="1" applyProtection="1"/>
    <xf numFmtId="37" fontId="2" fillId="3" borderId="0" xfId="1" applyNumberFormat="1" applyFont="1" applyFill="1" applyProtection="1"/>
    <xf numFmtId="0" fontId="5" fillId="0" borderId="3" xfId="1" applyFont="1" applyFill="1" applyBorder="1" applyAlignment="1" applyProtection="1"/>
    <xf numFmtId="37" fontId="2" fillId="0" borderId="0" xfId="1" applyNumberFormat="1" applyFont="1" applyFill="1" applyProtection="1"/>
    <xf numFmtId="37" fontId="2" fillId="2" borderId="3" xfId="1" applyNumberFormat="1" applyFont="1" applyFill="1" applyBorder="1" applyProtection="1"/>
    <xf numFmtId="37" fontId="2" fillId="2" borderId="0" xfId="1" applyNumberFormat="1" applyFont="1" applyFill="1" applyProtection="1"/>
    <xf numFmtId="165" fontId="2" fillId="1" borderId="3" xfId="1" applyNumberFormat="1" applyFont="1" applyFill="1" applyBorder="1" applyProtection="1"/>
    <xf numFmtId="165" fontId="2" fillId="1" borderId="0" xfId="1" applyNumberFormat="1" applyFont="1" applyFill="1" applyProtection="1"/>
    <xf numFmtId="0" fontId="2" fillId="1" borderId="3" xfId="1" applyFont="1" applyFill="1" applyBorder="1"/>
    <xf numFmtId="0" fontId="2" fillId="1" borderId="0" xfId="1" applyFont="1" applyFill="1"/>
    <xf numFmtId="0" fontId="2" fillId="3" borderId="3" xfId="1" applyFont="1" applyFill="1" applyBorder="1"/>
    <xf numFmtId="0" fontId="2" fillId="3" borderId="0" xfId="1" applyFont="1" applyFill="1"/>
    <xf numFmtId="165" fontId="2" fillId="0" borderId="3" xfId="1" applyNumberFormat="1" applyFont="1" applyFill="1" applyBorder="1" applyProtection="1"/>
    <xf numFmtId="165" fontId="2" fillId="0" borderId="0" xfId="1" applyNumberFormat="1" applyFont="1" applyFill="1" applyBorder="1" applyProtection="1"/>
    <xf numFmtId="165" fontId="2" fillId="0" borderId="9" xfId="1" applyNumberFormat="1" applyFont="1" applyFill="1" applyBorder="1" applyProtection="1"/>
    <xf numFmtId="37" fontId="3" fillId="1" borderId="3" xfId="1" applyNumberFormat="1" applyFont="1" applyFill="1" applyBorder="1" applyProtection="1"/>
    <xf numFmtId="37" fontId="3" fillId="1" borderId="0" xfId="1" applyNumberFormat="1" applyFont="1" applyFill="1" applyProtection="1"/>
    <xf numFmtId="37" fontId="3" fillId="3" borderId="14" xfId="1" applyNumberFormat="1" applyFont="1" applyFill="1" applyBorder="1" applyProtection="1"/>
    <xf numFmtId="37" fontId="3" fillId="3" borderId="0" xfId="1" applyNumberFormat="1" applyFont="1" applyFill="1" applyProtection="1"/>
    <xf numFmtId="37" fontId="3" fillId="1" borderId="14" xfId="1" applyNumberFormat="1" applyFont="1" applyFill="1" applyBorder="1" applyProtection="1"/>
    <xf numFmtId="0" fontId="3" fillId="0" borderId="2" xfId="1" applyFont="1" applyFill="1" applyBorder="1" applyAlignment="1">
      <alignment horizontal="left"/>
    </xf>
    <xf numFmtId="0" fontId="3" fillId="2" borderId="2" xfId="1" applyFont="1" applyFill="1" applyBorder="1"/>
    <xf numFmtId="0" fontId="3" fillId="0" borderId="0" xfId="1" applyFont="1" applyAlignment="1">
      <alignment horizontal="left"/>
    </xf>
    <xf numFmtId="0" fontId="3" fillId="0" borderId="1" xfId="1" applyFont="1" applyFill="1" applyBorder="1" applyAlignment="1" applyProtection="1">
      <alignment horizontal="left"/>
    </xf>
    <xf numFmtId="0" fontId="3" fillId="0" borderId="15" xfId="1" applyFont="1" applyFill="1" applyBorder="1"/>
    <xf numFmtId="0" fontId="3" fillId="0" borderId="0" xfId="1" applyFont="1" applyBorder="1" applyAlignment="1" applyProtection="1">
      <alignment horizontal="center"/>
    </xf>
    <xf numFmtId="0" fontId="3" fillId="0" borderId="9" xfId="1" applyFont="1" applyBorder="1" applyAlignment="1" applyProtection="1">
      <alignment horizontal="center"/>
    </xf>
    <xf numFmtId="0" fontId="3" fillId="0" borderId="3" xfId="1" applyFont="1" applyFill="1" applyBorder="1" applyAlignment="1">
      <alignment horizontal="left"/>
    </xf>
    <xf numFmtId="0" fontId="3" fillId="0" borderId="5" xfId="1" applyFont="1" applyFill="1" applyBorder="1" applyAlignment="1" applyProtection="1">
      <alignment horizontal="left" vertical="center"/>
    </xf>
    <xf numFmtId="164" fontId="2" fillId="0" borderId="5" xfId="1" applyNumberFormat="1" applyFont="1" applyFill="1" applyBorder="1" applyAlignment="1" applyProtection="1">
      <alignment vertical="center"/>
    </xf>
    <xf numFmtId="37" fontId="2" fillId="0" borderId="6" xfId="1" applyNumberFormat="1" applyFont="1" applyBorder="1" applyAlignment="1" applyProtection="1">
      <alignment vertical="center"/>
    </xf>
    <xf numFmtId="0" fontId="3" fillId="0" borderId="3" xfId="1" applyFont="1" applyFill="1" applyBorder="1" applyAlignment="1" applyProtection="1">
      <alignment horizontal="left" vertical="center"/>
    </xf>
    <xf numFmtId="164" fontId="2" fillId="0" borderId="3" xfId="1" applyNumberFormat="1" applyFont="1" applyFill="1" applyBorder="1" applyAlignment="1" applyProtection="1">
      <alignment vertical="center"/>
    </xf>
    <xf numFmtId="37" fontId="2" fillId="1" borderId="7" xfId="1" applyNumberFormat="1" applyFont="1" applyFill="1" applyBorder="1" applyProtection="1"/>
    <xf numFmtId="37" fontId="2" fillId="0" borderId="9" xfId="1" applyNumberFormat="1" applyFont="1" applyFill="1" applyBorder="1" applyProtection="1"/>
    <xf numFmtId="37" fontId="2" fillId="1" borderId="0" xfId="1" applyNumberFormat="1" applyFont="1" applyFill="1" applyBorder="1" applyProtection="1"/>
    <xf numFmtId="37" fontId="2" fillId="1" borderId="9" xfId="1" applyNumberFormat="1" applyFont="1" applyFill="1" applyBorder="1" applyProtection="1"/>
    <xf numFmtId="0" fontId="2" fillId="1" borderId="0" xfId="1" applyFont="1" applyFill="1" applyBorder="1"/>
    <xf numFmtId="0" fontId="2" fillId="1" borderId="9" xfId="1" applyFont="1" applyFill="1" applyBorder="1"/>
    <xf numFmtId="165" fontId="3" fillId="1" borderId="3" xfId="1" applyNumberFormat="1" applyFont="1" applyFill="1" applyBorder="1" applyProtection="1"/>
    <xf numFmtId="0" fontId="3" fillId="1" borderId="0" xfId="1" applyFont="1" applyFill="1"/>
    <xf numFmtId="165" fontId="3" fillId="1" borderId="0" xfId="1" applyNumberFormat="1" applyFont="1" applyFill="1" applyProtection="1"/>
    <xf numFmtId="0" fontId="3" fillId="1" borderId="3" xfId="1" applyFont="1" applyFill="1" applyBorder="1"/>
    <xf numFmtId="0" fontId="3" fillId="3" borderId="3" xfId="1" applyFont="1" applyFill="1" applyBorder="1"/>
    <xf numFmtId="0" fontId="3" fillId="3" borderId="0" xfId="1" applyFont="1" applyFill="1"/>
    <xf numFmtId="0" fontId="3" fillId="1" borderId="14" xfId="1" applyFont="1" applyFill="1" applyBorder="1"/>
    <xf numFmtId="0" fontId="3" fillId="1" borderId="16" xfId="1" applyFont="1" applyFill="1" applyBorder="1"/>
    <xf numFmtId="0" fontId="3" fillId="1" borderId="17" xfId="1" applyFont="1" applyFill="1" applyBorder="1"/>
    <xf numFmtId="0" fontId="6" fillId="0" borderId="2" xfId="1" applyFont="1" applyBorder="1"/>
    <xf numFmtId="0" fontId="6" fillId="2" borderId="2" xfId="1" applyFont="1" applyFill="1" applyBorder="1"/>
    <xf numFmtId="0" fontId="6" fillId="0" borderId="0" xfId="1" applyFont="1"/>
    <xf numFmtId="0" fontId="3" fillId="1" borderId="14" xfId="1" applyFont="1" applyFill="1" applyBorder="1" applyAlignment="1">
      <alignment horizontal="left"/>
    </xf>
    <xf numFmtId="165" fontId="3" fillId="1" borderId="14" xfId="1" applyNumberFormat="1" applyFont="1" applyFill="1" applyBorder="1" applyProtection="1"/>
    <xf numFmtId="165" fontId="3" fillId="1" borderId="16" xfId="1" applyNumberFormat="1" applyFont="1" applyFill="1" applyBorder="1" applyProtection="1"/>
    <xf numFmtId="0" fontId="3" fillId="0" borderId="0" xfId="0" applyFont="1"/>
    <xf numFmtId="0" fontId="7" fillId="0" borderId="0" xfId="0" applyFont="1"/>
    <xf numFmtId="166" fontId="8" fillId="0" borderId="0" xfId="0" applyNumberFormat="1" applyFont="1" applyFill="1" applyProtection="1"/>
    <xf numFmtId="0" fontId="8" fillId="0" borderId="0" xfId="0" applyFont="1" applyFill="1" applyProtection="1"/>
    <xf numFmtId="166" fontId="9" fillId="0" borderId="0" xfId="0" applyNumberFormat="1" applyFont="1" applyFill="1" applyProtection="1"/>
    <xf numFmtId="166" fontId="4" fillId="0" borderId="0" xfId="0" applyNumberFormat="1" applyFont="1" applyProtection="1"/>
    <xf numFmtId="166" fontId="7" fillId="0" borderId="0" xfId="0" applyNumberFormat="1" applyFont="1" applyProtection="1"/>
    <xf numFmtId="0" fontId="10" fillId="0" borderId="0" xfId="0" applyFont="1"/>
    <xf numFmtId="166" fontId="3" fillId="0" borderId="0" xfId="0" applyNumberFormat="1" applyFont="1" applyProtection="1"/>
    <xf numFmtId="166" fontId="11" fillId="0" borderId="0" xfId="0" applyNumberFormat="1" applyFont="1" applyProtection="1"/>
    <xf numFmtId="166" fontId="12" fillId="0" borderId="1" xfId="0" applyNumberFormat="1" applyFont="1" applyFill="1" applyBorder="1" applyProtection="1"/>
    <xf numFmtId="166" fontId="12" fillId="0" borderId="2" xfId="0" applyNumberFormat="1" applyFont="1" applyFill="1" applyBorder="1" applyProtection="1"/>
    <xf numFmtId="166" fontId="13" fillId="0" borderId="2" xfId="0" applyNumberFormat="1" applyFont="1" applyFill="1" applyBorder="1" applyProtection="1"/>
    <xf numFmtId="166" fontId="14" fillId="0" borderId="3" xfId="0" applyNumberFormat="1" applyFont="1" applyFill="1" applyBorder="1" applyProtection="1"/>
    <xf numFmtId="166" fontId="12" fillId="0" borderId="3" xfId="0" applyNumberFormat="1" applyFont="1" applyFill="1" applyBorder="1" applyProtection="1"/>
    <xf numFmtId="166" fontId="12" fillId="0" borderId="3" xfId="0" applyNumberFormat="1" applyFont="1" applyFill="1" applyBorder="1" applyAlignment="1" applyProtection="1"/>
    <xf numFmtId="0" fontId="12" fillId="0" borderId="3" xfId="0" applyFont="1" applyFill="1" applyBorder="1"/>
    <xf numFmtId="0" fontId="15" fillId="0" borderId="0" xfId="0" applyFont="1"/>
    <xf numFmtId="0" fontId="14" fillId="0" borderId="3" xfId="0" applyFont="1" applyFill="1" applyBorder="1"/>
    <xf numFmtId="166" fontId="12" fillId="0" borderId="5" xfId="0" applyNumberFormat="1" applyFont="1" applyFill="1" applyBorder="1" applyAlignment="1" applyProtection="1"/>
    <xf numFmtId="166" fontId="12" fillId="0" borderId="6" xfId="0" applyNumberFormat="1" applyFont="1" applyFill="1" applyBorder="1" applyAlignment="1" applyProtection="1">
      <alignment horizontal="center"/>
    </xf>
    <xf numFmtId="166" fontId="15" fillId="0" borderId="0" xfId="0" applyNumberFormat="1" applyFont="1" applyAlignment="1" applyProtection="1">
      <alignment horizontal="center"/>
    </xf>
    <xf numFmtId="166" fontId="12" fillId="0" borderId="5" xfId="0" applyNumberFormat="1" applyFont="1" applyFill="1" applyBorder="1" applyProtection="1"/>
    <xf numFmtId="3" fontId="12" fillId="0" borderId="5" xfId="0" applyNumberFormat="1" applyFont="1" applyFill="1" applyBorder="1" applyProtection="1"/>
    <xf numFmtId="3" fontId="12" fillId="0" borderId="6" xfId="0" applyNumberFormat="1" applyFont="1" applyFill="1" applyBorder="1" applyProtection="1"/>
    <xf numFmtId="3" fontId="12" fillId="0" borderId="3" xfId="0" applyNumberFormat="1" applyFont="1" applyFill="1" applyBorder="1" applyProtection="1"/>
    <xf numFmtId="3" fontId="15" fillId="0" borderId="0" xfId="0" applyNumberFormat="1" applyFont="1" applyProtection="1"/>
    <xf numFmtId="166" fontId="12" fillId="0" borderId="0" xfId="0" applyNumberFormat="1" applyFont="1" applyFill="1" applyBorder="1" applyProtection="1"/>
    <xf numFmtId="3" fontId="12" fillId="0" borderId="0" xfId="0" applyNumberFormat="1" applyFont="1" applyFill="1" applyBorder="1" applyProtection="1"/>
    <xf numFmtId="3" fontId="15" fillId="0" borderId="3" xfId="0" applyNumberFormat="1" applyFont="1" applyBorder="1"/>
    <xf numFmtId="3" fontId="15" fillId="0" borderId="0" xfId="0" applyNumberFormat="1" applyFont="1" applyBorder="1"/>
    <xf numFmtId="3" fontId="15" fillId="0" borderId="0" xfId="0" applyNumberFormat="1" applyFont="1" applyBorder="1" applyProtection="1"/>
    <xf numFmtId="3" fontId="15" fillId="0" borderId="9" xfId="0" applyNumberFormat="1" applyFont="1" applyBorder="1" applyProtection="1"/>
    <xf numFmtId="3" fontId="12" fillId="0" borderId="12" xfId="0" applyNumberFormat="1" applyFont="1" applyFill="1" applyBorder="1" applyProtection="1"/>
    <xf numFmtId="166" fontId="12" fillId="1" borderId="5" xfId="0" applyNumberFormat="1" applyFont="1" applyFill="1" applyBorder="1" applyProtection="1"/>
    <xf numFmtId="166" fontId="12" fillId="1" borderId="6" xfId="0" applyNumberFormat="1" applyFont="1" applyFill="1" applyBorder="1" applyProtection="1"/>
    <xf numFmtId="166" fontId="16" fillId="0" borderId="0" xfId="0" applyNumberFormat="1" applyFont="1" applyFill="1" applyBorder="1" applyProtection="1"/>
    <xf numFmtId="166" fontId="12" fillId="1" borderId="11" xfId="0" applyNumberFormat="1" applyFont="1" applyFill="1" applyBorder="1" applyProtection="1"/>
    <xf numFmtId="166" fontId="12" fillId="1" borderId="12" xfId="0" applyNumberFormat="1" applyFont="1" applyFill="1" applyBorder="1" applyProtection="1"/>
    <xf numFmtId="166" fontId="12" fillId="1" borderId="13" xfId="0" applyNumberFormat="1" applyFont="1" applyFill="1" applyBorder="1" applyProtection="1"/>
    <xf numFmtId="0" fontId="12" fillId="1" borderId="5" xfId="0" applyFont="1" applyFill="1" applyBorder="1"/>
    <xf numFmtId="165" fontId="12" fillId="0" borderId="3" xfId="0" applyNumberFormat="1" applyFont="1" applyFill="1" applyBorder="1" applyProtection="1"/>
    <xf numFmtId="165" fontId="12" fillId="0" borderId="0" xfId="0" applyNumberFormat="1" applyFont="1" applyFill="1" applyBorder="1" applyProtection="1"/>
    <xf numFmtId="166" fontId="12" fillId="1" borderId="3" xfId="0" applyNumberFormat="1" applyFont="1" applyFill="1" applyBorder="1" applyAlignment="1" applyProtection="1"/>
    <xf numFmtId="166" fontId="12" fillId="1" borderId="0" xfId="0" applyNumberFormat="1" applyFont="1" applyFill="1" applyProtection="1"/>
    <xf numFmtId="166" fontId="15" fillId="0" borderId="3" xfId="0" applyNumberFormat="1" applyFont="1" applyFill="1" applyBorder="1" applyProtection="1"/>
    <xf numFmtId="166" fontId="15" fillId="0" borderId="0" xfId="0" applyNumberFormat="1" applyFont="1" applyProtection="1"/>
    <xf numFmtId="166" fontId="11" fillId="0" borderId="3" xfId="0" applyNumberFormat="1" applyFont="1" applyFill="1" applyBorder="1" applyProtection="1"/>
    <xf numFmtId="0" fontId="17" fillId="0" borderId="0" xfId="0" applyFont="1"/>
    <xf numFmtId="166" fontId="12" fillId="1" borderId="3" xfId="0" applyNumberFormat="1" applyFont="1" applyFill="1" applyBorder="1" applyProtection="1"/>
    <xf numFmtId="166" fontId="12" fillId="1" borderId="7" xfId="0" applyNumberFormat="1" applyFont="1" applyFill="1" applyBorder="1" applyProtection="1"/>
    <xf numFmtId="0" fontId="18" fillId="0" borderId="0" xfId="0" applyFont="1"/>
    <xf numFmtId="165" fontId="15" fillId="0" borderId="3" xfId="0" applyNumberFormat="1" applyFont="1" applyFill="1" applyBorder="1" applyProtection="1"/>
    <xf numFmtId="165" fontId="15" fillId="0" borderId="0" xfId="0" applyNumberFormat="1" applyFont="1" applyFill="1" applyBorder="1" applyProtection="1"/>
    <xf numFmtId="165" fontId="15" fillId="0" borderId="9" xfId="0" applyNumberFormat="1" applyFont="1" applyFill="1" applyBorder="1" applyProtection="1"/>
    <xf numFmtId="166" fontId="12" fillId="1" borderId="14" xfId="0" applyNumberFormat="1" applyFont="1" applyFill="1" applyBorder="1" applyAlignment="1" applyProtection="1"/>
    <xf numFmtId="166" fontId="12" fillId="1" borderId="16" xfId="0" applyNumberFormat="1" applyFont="1" applyFill="1" applyBorder="1" applyProtection="1"/>
    <xf numFmtId="166" fontId="12" fillId="1" borderId="17" xfId="0" applyNumberFormat="1" applyFont="1" applyFill="1" applyBorder="1" applyProtection="1"/>
    <xf numFmtId="0" fontId="11" fillId="0" borderId="0" xfId="0" applyFont="1"/>
    <xf numFmtId="0" fontId="19" fillId="0" borderId="0" xfId="0" applyFont="1"/>
    <xf numFmtId="166" fontId="0" fillId="0" borderId="0" xfId="0" applyNumberFormat="1"/>
    <xf numFmtId="166" fontId="5" fillId="0" borderId="0" xfId="0" applyNumberFormat="1" applyFont="1" applyFill="1" applyAlignment="1" applyProtection="1"/>
    <xf numFmtId="166" fontId="5" fillId="0" borderId="0" xfId="0" applyNumberFormat="1" applyFont="1" applyFill="1" applyProtection="1"/>
    <xf numFmtId="166" fontId="20" fillId="0" borderId="0" xfId="0" applyNumberFormat="1" applyFont="1" applyFill="1" applyProtection="1"/>
    <xf numFmtId="166" fontId="21" fillId="0" borderId="0" xfId="0" applyNumberFormat="1" applyFont="1" applyFill="1" applyProtection="1"/>
    <xf numFmtId="166" fontId="3" fillId="0" borderId="0" xfId="0" applyNumberFormat="1" applyFont="1" applyAlignment="1" applyProtection="1">
      <alignment horizontal="left"/>
    </xf>
    <xf numFmtId="166" fontId="22" fillId="0" borderId="0" xfId="0" applyNumberFormat="1" applyFont="1" applyProtection="1"/>
    <xf numFmtId="166" fontId="7" fillId="0" borderId="0" xfId="0" applyNumberFormat="1" applyFont="1" applyAlignment="1" applyProtection="1">
      <alignment horizontal="left"/>
    </xf>
    <xf numFmtId="166" fontId="2" fillId="0" borderId="0" xfId="0" applyNumberFormat="1" applyFont="1" applyProtection="1"/>
    <xf numFmtId="166" fontId="23" fillId="0" borderId="0" xfId="0" applyNumberFormat="1" applyFont="1" applyProtection="1"/>
    <xf numFmtId="166" fontId="24" fillId="0" borderId="0" xfId="0" applyNumberFormat="1" applyFont="1" applyProtection="1"/>
    <xf numFmtId="166" fontId="12" fillId="0" borderId="1" xfId="0" applyNumberFormat="1" applyFont="1" applyFill="1" applyBorder="1" applyAlignment="1" applyProtection="1"/>
    <xf numFmtId="166" fontId="25" fillId="0" borderId="1" xfId="0" applyNumberFormat="1" applyFont="1" applyFill="1" applyBorder="1" applyProtection="1"/>
    <xf numFmtId="166" fontId="25" fillId="0" borderId="2" xfId="0" applyNumberFormat="1" applyFont="1" applyFill="1" applyBorder="1" applyProtection="1"/>
    <xf numFmtId="166" fontId="15" fillId="0" borderId="3" xfId="0" applyNumberFormat="1" applyFont="1" applyBorder="1" applyProtection="1"/>
    <xf numFmtId="0" fontId="26" fillId="0" borderId="0" xfId="0" applyFont="1"/>
    <xf numFmtId="166" fontId="12" fillId="0" borderId="3" xfId="0" applyNumberFormat="1" applyFont="1" applyFill="1" applyBorder="1" applyAlignment="1" applyProtection="1">
      <alignment horizontal="center"/>
    </xf>
    <xf numFmtId="166" fontId="12" fillId="0" borderId="3" xfId="0" applyNumberFormat="1" applyFont="1" applyFill="1" applyBorder="1" applyAlignment="1" applyProtection="1">
      <alignment horizontal="left"/>
    </xf>
    <xf numFmtId="0" fontId="15" fillId="0" borderId="3" xfId="0" applyFont="1" applyFill="1" applyBorder="1"/>
    <xf numFmtId="0" fontId="15" fillId="0" borderId="0" xfId="0" applyFont="1" applyFill="1"/>
    <xf numFmtId="0" fontId="15" fillId="0" borderId="3" xfId="0" applyFont="1" applyBorder="1"/>
    <xf numFmtId="166" fontId="12" fillId="0" borderId="4" xfId="0" applyNumberFormat="1" applyFont="1" applyFill="1" applyBorder="1" applyAlignment="1" applyProtection="1"/>
    <xf numFmtId="166" fontId="12" fillId="0" borderId="6" xfId="0" applyNumberFormat="1" applyFont="1" applyFill="1" applyBorder="1" applyAlignment="1" applyProtection="1"/>
    <xf numFmtId="166" fontId="12" fillId="0" borderId="18" xfId="0" applyNumberFormat="1" applyFont="1" applyFill="1" applyBorder="1" applyAlignment="1" applyProtection="1"/>
    <xf numFmtId="166" fontId="12" fillId="0" borderId="19" xfId="0" applyNumberFormat="1" applyFont="1" applyFill="1" applyBorder="1" applyAlignment="1" applyProtection="1"/>
    <xf numFmtId="3" fontId="12" fillId="0" borderId="18" xfId="0" applyNumberFormat="1" applyFont="1" applyFill="1" applyBorder="1" applyProtection="1"/>
    <xf numFmtId="3" fontId="12" fillId="0" borderId="20" xfId="0" applyNumberFormat="1" applyFont="1" applyFill="1" applyBorder="1" applyProtection="1"/>
    <xf numFmtId="3" fontId="12" fillId="0" borderId="19" xfId="0" applyNumberFormat="1" applyFont="1" applyFill="1" applyBorder="1" applyProtection="1"/>
    <xf numFmtId="166" fontId="12" fillId="0" borderId="18" xfId="0" applyNumberFormat="1" applyFont="1" applyFill="1" applyBorder="1" applyAlignment="1" applyProtection="1">
      <alignment horizontal="center"/>
    </xf>
    <xf numFmtId="166" fontId="15" fillId="0" borderId="19" xfId="0" applyNumberFormat="1" applyFont="1" applyBorder="1" applyAlignment="1" applyProtection="1">
      <alignment horizontal="center"/>
    </xf>
    <xf numFmtId="3" fontId="26" fillId="0" borderId="0" xfId="0" applyNumberFormat="1" applyFont="1"/>
    <xf numFmtId="166" fontId="26" fillId="0" borderId="0" xfId="0" applyNumberFormat="1" applyFont="1"/>
    <xf numFmtId="3" fontId="0" fillId="0" borderId="0" xfId="0" applyNumberFormat="1"/>
    <xf numFmtId="166" fontId="15" fillId="0" borderId="0" xfId="0" applyNumberFormat="1" applyFont="1" applyAlignment="1" applyProtection="1">
      <alignment horizontal="left"/>
    </xf>
    <xf numFmtId="166" fontId="12" fillId="1" borderId="5" xfId="0" applyNumberFormat="1" applyFont="1" applyFill="1" applyBorder="1" applyAlignment="1" applyProtection="1">
      <alignment horizontal="left"/>
    </xf>
    <xf numFmtId="3" fontId="27" fillId="0" borderId="3" xfId="0" applyNumberFormat="1" applyFont="1" applyBorder="1" applyAlignment="1">
      <alignment horizontal="center" vertical="center" wrapText="1" readingOrder="1"/>
    </xf>
    <xf numFmtId="3" fontId="15" fillId="0" borderId="3" xfId="0" applyNumberFormat="1" applyFont="1" applyBorder="1" applyProtection="1"/>
    <xf numFmtId="165" fontId="12" fillId="0" borderId="9" xfId="0" applyNumberFormat="1" applyFont="1" applyFill="1" applyBorder="1" applyProtection="1"/>
    <xf numFmtId="166" fontId="12" fillId="1" borderId="9" xfId="0" applyNumberFormat="1" applyFont="1" applyFill="1" applyBorder="1" applyProtection="1"/>
    <xf numFmtId="0" fontId="14" fillId="0" borderId="0" xfId="0" applyFont="1" applyFill="1" applyBorder="1"/>
    <xf numFmtId="166" fontId="15" fillId="0" borderId="3" xfId="0" applyNumberFormat="1" applyFont="1" applyFill="1" applyBorder="1" applyAlignment="1" applyProtection="1"/>
    <xf numFmtId="166" fontId="15" fillId="0" borderId="0" xfId="0" applyNumberFormat="1" applyFont="1" applyFill="1" applyBorder="1" applyProtection="1"/>
    <xf numFmtId="166" fontId="15" fillId="0" borderId="9" xfId="0" applyNumberFormat="1" applyFont="1" applyFill="1" applyBorder="1" applyProtection="1"/>
    <xf numFmtId="0" fontId="11" fillId="0" borderId="0" xfId="0" applyFont="1" applyFill="1" applyBorder="1"/>
    <xf numFmtId="166" fontId="14" fillId="0" borderId="2" xfId="0" applyNumberFormat="1" applyFont="1" applyFill="1" applyBorder="1" applyAlignment="1" applyProtection="1"/>
    <xf numFmtId="0" fontId="18" fillId="0" borderId="2" xfId="0" applyFont="1" applyBorder="1"/>
    <xf numFmtId="0" fontId="11" fillId="0" borderId="2" xfId="0" applyFont="1" applyBorder="1"/>
    <xf numFmtId="14" fontId="24" fillId="0" borderId="2" xfId="0" applyNumberFormat="1" applyFont="1" applyFill="1" applyBorder="1" applyAlignment="1" applyProtection="1"/>
    <xf numFmtId="14" fontId="24" fillId="0" borderId="2" xfId="0" applyNumberFormat="1" applyFont="1" applyBorder="1" applyAlignment="1"/>
    <xf numFmtId="14" fontId="11" fillId="0" borderId="2" xfId="0" applyNumberFormat="1" applyFont="1" applyBorder="1" applyAlignment="1"/>
    <xf numFmtId="0" fontId="28" fillId="0" borderId="0" xfId="0" applyFont="1"/>
    <xf numFmtId="1" fontId="29" fillId="0" borderId="0" xfId="0" applyNumberFormat="1" applyFont="1"/>
    <xf numFmtId="0" fontId="30" fillId="0" borderId="0" xfId="0" applyFont="1"/>
    <xf numFmtId="166" fontId="31" fillId="0" borderId="0" xfId="0" applyNumberFormat="1" applyFont="1"/>
    <xf numFmtId="166" fontId="12" fillId="0" borderId="3" xfId="0" applyNumberFormat="1" applyFont="1" applyFill="1" applyBorder="1" applyAlignment="1" applyProtection="1">
      <alignment horizontal="center"/>
    </xf>
    <xf numFmtId="166" fontId="12" fillId="0" borderId="0" xfId="0" applyNumberFormat="1" applyFont="1" applyFill="1" applyBorder="1" applyAlignment="1" applyProtection="1">
      <alignment horizontal="center"/>
    </xf>
    <xf numFmtId="166" fontId="12" fillId="0" borderId="9" xfId="0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PSA/Downloads/RESULTATS%20DEFINITIFS%20%20DE%20LA%20%20CAMPAGNE%20AGRICOLE%20%202020%20-2021%20%20par%20r&#233;gion_11-04-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kar"/>
      <sheetName val="Diourbel"/>
      <sheetName val="Fatick"/>
      <sheetName val="Kaolack"/>
      <sheetName val="Kolda"/>
      <sheetName val="Louga"/>
      <sheetName val="Saint-Louis"/>
      <sheetName val="Tamba"/>
      <sheetName val="Thiès"/>
      <sheetName val="Ziguinchor"/>
      <sheetName val="Matam"/>
      <sheetName val="Kaffrine"/>
      <sheetName val="Kédougou"/>
      <sheetName val="Sedhiou"/>
      <sheetName val="CULTURES INDUSTRIELLES"/>
      <sheetName val="CEREALES"/>
      <sheetName val="AUTRES CULTURES"/>
    </sheetNames>
    <sheetDataSet>
      <sheetData sheetId="0">
        <row r="11">
          <cell r="H11">
            <v>234</v>
          </cell>
          <cell r="I11">
            <v>705.22900000000004</v>
          </cell>
          <cell r="J11">
            <v>165.02358600000002</v>
          </cell>
        </row>
        <row r="24">
          <cell r="B24">
            <v>894.74165099999993</v>
          </cell>
          <cell r="C24">
            <v>622</v>
          </cell>
          <cell r="D24">
            <v>556.52930692199993</v>
          </cell>
          <cell r="E24">
            <v>211</v>
          </cell>
          <cell r="F24">
            <v>400</v>
          </cell>
          <cell r="G24">
            <v>84.4</v>
          </cell>
          <cell r="H24">
            <v>443.85117227187055</v>
          </cell>
          <cell r="I24">
            <v>8220.8253000000004</v>
          </cell>
          <cell r="J24">
            <v>3648.8229464472524</v>
          </cell>
          <cell r="K24">
            <v>159.73385092592594</v>
          </cell>
          <cell r="L24">
            <v>12400</v>
          </cell>
          <cell r="M24">
            <v>1980.6997514814816</v>
          </cell>
        </row>
      </sheetData>
      <sheetData sheetId="1">
        <row r="13">
          <cell r="B13">
            <v>112673.8474791125</v>
          </cell>
          <cell r="C13">
            <v>697.87107744609887</v>
          </cell>
          <cell r="D13">
            <v>78631.819340245653</v>
          </cell>
          <cell r="E13">
            <v>17950.032944013434</v>
          </cell>
          <cell r="F13">
            <v>829.44581744679533</v>
          </cell>
          <cell r="G13">
            <v>14888.57974844413</v>
          </cell>
          <cell r="H13">
            <v>932</v>
          </cell>
          <cell r="I13">
            <v>944.27896995708147</v>
          </cell>
          <cell r="J13">
            <v>880.06799999999998</v>
          </cell>
        </row>
        <row r="28">
          <cell r="B28">
            <v>82467.284999999989</v>
          </cell>
          <cell r="C28">
            <v>1035.9634280350729</v>
          </cell>
          <cell r="D28">
            <v>85433.091269345343</v>
          </cell>
          <cell r="E28">
            <v>28090</v>
          </cell>
          <cell r="F28">
            <v>653.16838732645067</v>
          </cell>
          <cell r="G28">
            <v>18347.5</v>
          </cell>
          <cell r="H28">
            <v>12634</v>
          </cell>
          <cell r="I28">
            <v>9070.0129592528083</v>
          </cell>
          <cell r="J28">
            <v>114590.54372719998</v>
          </cell>
          <cell r="K28">
            <v>12229.315469245754</v>
          </cell>
          <cell r="L28">
            <v>11918.870542090606</v>
          </cell>
          <cell r="M28">
            <v>145759.62789632616</v>
          </cell>
          <cell r="N28">
            <v>1445</v>
          </cell>
          <cell r="O28">
            <v>628.01314878892731</v>
          </cell>
          <cell r="P28">
            <v>907.47899999999993</v>
          </cell>
        </row>
      </sheetData>
      <sheetData sheetId="2">
        <row r="14">
          <cell r="B14">
            <v>194733.01453480995</v>
          </cell>
          <cell r="C14">
            <v>1062.7889419319552</v>
          </cell>
          <cell r="D14">
            <v>206960.09447667073</v>
          </cell>
          <cell r="E14">
            <v>19421.772892315093</v>
          </cell>
          <cell r="F14">
            <v>1080.3545776830042</v>
          </cell>
          <cell r="G14">
            <v>20982.401250932289</v>
          </cell>
          <cell r="H14">
            <v>34430</v>
          </cell>
          <cell r="I14">
            <v>2292.5147255300608</v>
          </cell>
          <cell r="J14">
            <v>78931.281999999992</v>
          </cell>
          <cell r="K14">
            <v>7737.8</v>
          </cell>
          <cell r="L14">
            <v>2221.6314365840421</v>
          </cell>
          <cell r="M14">
            <v>17190.53973</v>
          </cell>
        </row>
        <row r="30">
          <cell r="B30">
            <v>188837.25701681047</v>
          </cell>
          <cell r="C30">
            <v>1227.5491953755388</v>
          </cell>
          <cell r="D30">
            <v>231807.02290790953</v>
          </cell>
          <cell r="E30">
            <v>23515.473241736549</v>
          </cell>
          <cell r="F30">
            <v>870.59013295972113</v>
          </cell>
          <cell r="G30">
            <v>20472.338976134186</v>
          </cell>
          <cell r="H30">
            <v>4541.1212608036594</v>
          </cell>
          <cell r="I30">
            <v>10516.993862574407</v>
          </cell>
          <cell r="J30">
            <v>47758.944429078241</v>
          </cell>
          <cell r="K30">
            <v>6896.7637207715252</v>
          </cell>
          <cell r="L30">
            <v>12580.545024085277</v>
          </cell>
          <cell r="M30">
            <v>86765.046509644075</v>
          </cell>
          <cell r="N30">
            <v>5335</v>
          </cell>
          <cell r="O30">
            <v>611.18837863167766</v>
          </cell>
          <cell r="P30">
            <v>3260.69</v>
          </cell>
        </row>
      </sheetData>
      <sheetData sheetId="3">
        <row r="13">
          <cell r="B13">
            <v>151017.05411892617</v>
          </cell>
          <cell r="C13">
            <v>1225.135095767725</v>
          </cell>
          <cell r="D13">
            <v>185016.29306055032</v>
          </cell>
          <cell r="E13">
            <v>26814</v>
          </cell>
          <cell r="F13">
            <v>1517.2318564928771</v>
          </cell>
          <cell r="G13">
            <v>40683.055000000008</v>
          </cell>
          <cell r="H13">
            <v>44750</v>
          </cell>
          <cell r="I13">
            <v>2652.4779888268158</v>
          </cell>
          <cell r="J13">
            <v>118698.39</v>
          </cell>
          <cell r="K13">
            <v>1986.6952243659734</v>
          </cell>
          <cell r="L13">
            <v>1538.0872597488478</v>
          </cell>
          <cell r="M13">
            <v>3055.7106136011826</v>
          </cell>
        </row>
        <row r="28">
          <cell r="B28">
            <v>175385.09119625366</v>
          </cell>
          <cell r="C28">
            <v>1493.5390424240288</v>
          </cell>
          <cell r="D28">
            <v>261944.4811607037</v>
          </cell>
          <cell r="E28">
            <v>2595.7391112775554</v>
          </cell>
          <cell r="F28">
            <v>618.94876598235862</v>
          </cell>
          <cell r="G28">
            <v>1606.629519737387</v>
          </cell>
          <cell r="H28">
            <v>6607.4268529578358</v>
          </cell>
          <cell r="I28">
            <v>19735.752541318139</v>
          </cell>
          <cell r="J28">
            <v>130402.54130483631</v>
          </cell>
          <cell r="K28">
            <v>14997.734852284691</v>
          </cell>
          <cell r="L28">
            <v>35143.005990240163</v>
          </cell>
          <cell r="M28">
            <v>527065.48575387453</v>
          </cell>
          <cell r="N28">
            <v>1850.2740666666668</v>
          </cell>
          <cell r="O28">
            <v>596.65188699432667</v>
          </cell>
          <cell r="P28">
            <v>1103.9695133333335</v>
          </cell>
        </row>
      </sheetData>
      <sheetData sheetId="4">
        <row r="17">
          <cell r="B17">
            <v>49905.317258104682</v>
          </cell>
          <cell r="C17">
            <v>1886.0185062182557</v>
          </cell>
          <cell r="D17">
            <v>94122.351907478733</v>
          </cell>
          <cell r="E17">
            <v>39009.253058315</v>
          </cell>
          <cell r="F17">
            <v>1447.4226940080134</v>
          </cell>
          <cell r="G17">
            <v>56462.878152906633</v>
          </cell>
          <cell r="H17">
            <v>50025.120525999642</v>
          </cell>
          <cell r="I17">
            <v>3612.1161344098105</v>
          </cell>
          <cell r="J17">
            <v>180696.54497775869</v>
          </cell>
          <cell r="K17">
            <v>125436.78</v>
          </cell>
          <cell r="L17">
            <v>2944.3543863291134</v>
          </cell>
          <cell r="M17">
            <v>369330.3334</v>
          </cell>
          <cell r="N17">
            <v>239</v>
          </cell>
          <cell r="O17">
            <v>890</v>
          </cell>
          <cell r="P17">
            <v>212.71</v>
          </cell>
        </row>
        <row r="32">
          <cell r="B32">
            <v>128694.51999999999</v>
          </cell>
          <cell r="C32">
            <v>2368.1783533199396</v>
          </cell>
          <cell r="D32">
            <v>304771.57645489997</v>
          </cell>
          <cell r="H32">
            <v>1922.2141625695201</v>
          </cell>
          <cell r="I32">
            <v>630.78915856657954</v>
          </cell>
          <cell r="J32">
            <v>1212.5118541919901</v>
          </cell>
          <cell r="K32">
            <v>1383.7525093321719</v>
          </cell>
          <cell r="L32">
            <v>10893.697861957953</v>
          </cell>
          <cell r="M32">
            <v>15074.181752390834</v>
          </cell>
          <cell r="N32">
            <v>925.64097984289128</v>
          </cell>
          <cell r="O32">
            <v>12913.802973574546</v>
          </cell>
          <cell r="P32">
            <v>11953.545237957585</v>
          </cell>
          <cell r="Q32">
            <v>2785.4449999999997</v>
          </cell>
          <cell r="R32">
            <v>881.4720017806851</v>
          </cell>
          <cell r="S32">
            <v>2455.29178</v>
          </cell>
        </row>
      </sheetData>
      <sheetData sheetId="5">
        <row r="12">
          <cell r="B12">
            <v>96695.423108263916</v>
          </cell>
          <cell r="C12">
            <v>539.12691282781725</v>
          </cell>
          <cell r="D12">
            <v>52131.104944937899</v>
          </cell>
          <cell r="E12">
            <v>2078</v>
          </cell>
          <cell r="F12">
            <v>490.20837343599618</v>
          </cell>
          <cell r="G12">
            <v>1018.653</v>
          </cell>
          <cell r="H12">
            <v>5989</v>
          </cell>
          <cell r="I12">
            <v>630</v>
          </cell>
          <cell r="J12">
            <v>3773.07</v>
          </cell>
        </row>
        <row r="27">
          <cell r="B27">
            <v>122668.81259999998</v>
          </cell>
          <cell r="C27">
            <v>1107.0271692627439</v>
          </cell>
          <cell r="D27">
            <v>135797.70836939997</v>
          </cell>
          <cell r="E27">
            <v>168757</v>
          </cell>
          <cell r="F27">
            <v>949.2428343713151</v>
          </cell>
          <cell r="G27">
            <v>160191.37300000002</v>
          </cell>
          <cell r="H27">
            <v>5470.9461146924132</v>
          </cell>
          <cell r="I27">
            <v>16089.931021497068</v>
          </cell>
          <cell r="J27">
            <v>88027.145607728322</v>
          </cell>
          <cell r="K27">
            <v>22686</v>
          </cell>
          <cell r="L27">
            <v>12944.163801463457</v>
          </cell>
          <cell r="M27">
            <v>293651.3</v>
          </cell>
          <cell r="N27">
            <v>45</v>
          </cell>
          <cell r="O27">
            <v>658</v>
          </cell>
          <cell r="P27">
            <v>29.61</v>
          </cell>
        </row>
      </sheetData>
      <sheetData sheetId="6">
        <row r="17">
          <cell r="B17">
            <v>4879.8842158036505</v>
          </cell>
          <cell r="C17">
            <v>322.09219763516973</v>
          </cell>
          <cell r="D17">
            <v>1571.7726312733746</v>
          </cell>
          <cell r="E17">
            <v>5154</v>
          </cell>
          <cell r="F17">
            <v>549.58963911525029</v>
          </cell>
          <cell r="G17">
            <v>2832.585</v>
          </cell>
          <cell r="H17">
            <v>2947.7665529407022</v>
          </cell>
          <cell r="I17">
            <v>1795.9496135092481</v>
          </cell>
          <cell r="J17">
            <v>5294.0402014693427</v>
          </cell>
          <cell r="K17">
            <v>64159</v>
          </cell>
          <cell r="L17">
            <v>4720.0174566311825</v>
          </cell>
          <cell r="M17">
            <v>302831.60000000003</v>
          </cell>
        </row>
        <row r="33">
          <cell r="B33">
            <v>13264.312397006994</v>
          </cell>
          <cell r="C33">
            <v>686.08779678660449</v>
          </cell>
          <cell r="D33">
            <v>9100.4828683517735</v>
          </cell>
          <cell r="E33">
            <v>7284.0619463109415</v>
          </cell>
          <cell r="F33">
            <v>460.02830796060113</v>
          </cell>
          <cell r="G33">
            <v>3350.8746922416253</v>
          </cell>
          <cell r="H33">
            <v>1620.4451048021051</v>
          </cell>
          <cell r="I33">
            <v>24710.185943227294</v>
          </cell>
          <cell r="J33">
            <v>40041.499850452456</v>
          </cell>
          <cell r="K33">
            <v>2983.9067464992322</v>
          </cell>
          <cell r="L33">
            <v>12971.795718321946</v>
          </cell>
          <cell r="M33">
            <v>38706.62875811071</v>
          </cell>
        </row>
      </sheetData>
      <sheetData sheetId="7">
        <row r="17">
          <cell r="B17">
            <v>46764</v>
          </cell>
          <cell r="C17">
            <v>1348.4658925669316</v>
          </cell>
          <cell r="D17">
            <v>63059.659</v>
          </cell>
          <cell r="E17">
            <v>41254.832225737431</v>
          </cell>
          <cell r="F17">
            <v>1541.8183018102588</v>
          </cell>
          <cell r="G17">
            <v>63607.45536375363</v>
          </cell>
          <cell r="H17">
            <v>38849.067999999999</v>
          </cell>
          <cell r="I17">
            <v>2620.1522428285793</v>
          </cell>
          <cell r="J17">
            <v>101790.472652</v>
          </cell>
          <cell r="K17">
            <v>7697.2986133583099</v>
          </cell>
          <cell r="L17">
            <v>2859.2339598448766</v>
          </cell>
          <cell r="M17">
            <v>22008.37759438096</v>
          </cell>
          <cell r="N17">
            <v>88.173919999999995</v>
          </cell>
          <cell r="O17">
            <v>600</v>
          </cell>
          <cell r="P17">
            <v>52.904351999999996</v>
          </cell>
        </row>
        <row r="33">
          <cell r="B33">
            <v>100737.63082692472</v>
          </cell>
          <cell r="C33">
            <v>1281.2000860499404</v>
          </cell>
          <cell r="D33">
            <v>129065.06128392307</v>
          </cell>
          <cell r="H33">
            <v>5002</v>
          </cell>
          <cell r="I33">
            <v>815.64634146341461</v>
          </cell>
          <cell r="J33">
            <v>4079.8630000000003</v>
          </cell>
          <cell r="K33">
            <v>894.71150069927387</v>
          </cell>
          <cell r="L33">
            <v>13801.236266560818</v>
          </cell>
          <cell r="M33">
            <v>12348.124811559872</v>
          </cell>
          <cell r="N33">
            <v>4745</v>
          </cell>
          <cell r="O33">
            <v>16668.691675447841</v>
          </cell>
          <cell r="P33">
            <v>79092.941999999995</v>
          </cell>
          <cell r="Q33">
            <v>3657.7912099884925</v>
          </cell>
          <cell r="R33">
            <v>856.6883571417975</v>
          </cell>
          <cell r="S33">
            <v>3133.587142452749</v>
          </cell>
        </row>
      </sheetData>
      <sheetData sheetId="8">
        <row r="14">
          <cell r="B14">
            <v>110911.60251078093</v>
          </cell>
          <cell r="C14">
            <v>785.74507074725102</v>
          </cell>
          <cell r="D14">
            <v>87148.244961524542</v>
          </cell>
          <cell r="E14">
            <v>13544.145970006217</v>
          </cell>
          <cell r="F14">
            <v>688.21488873779458</v>
          </cell>
          <cell r="G14">
            <v>9321.2829117962774</v>
          </cell>
          <cell r="H14">
            <v>2942</v>
          </cell>
          <cell r="I14">
            <v>676.17872875594833</v>
          </cell>
          <cell r="J14">
            <v>1989.31782</v>
          </cell>
        </row>
        <row r="30">
          <cell r="B30">
            <v>99036.492864036802</v>
          </cell>
          <cell r="C30">
            <v>1196.9832320267867</v>
          </cell>
          <cell r="D30">
            <v>118545.02131699257</v>
          </cell>
          <cell r="E30">
            <v>40234</v>
          </cell>
          <cell r="F30">
            <v>914.15725505791124</v>
          </cell>
          <cell r="G30">
            <v>36780.203000000001</v>
          </cell>
          <cell r="H30">
            <v>60649</v>
          </cell>
          <cell r="I30">
            <v>14254.219871720883</v>
          </cell>
          <cell r="J30">
            <v>864504.18099999987</v>
          </cell>
          <cell r="K30">
            <v>3683</v>
          </cell>
          <cell r="L30">
            <v>12348.493076296498</v>
          </cell>
          <cell r="M30">
            <v>45479.5</v>
          </cell>
          <cell r="N30">
            <v>149.5</v>
          </cell>
          <cell r="O30">
            <v>614.13043478260863</v>
          </cell>
          <cell r="P30">
            <v>91.8125</v>
          </cell>
        </row>
      </sheetData>
      <sheetData sheetId="9">
        <row r="17">
          <cell r="B17">
            <v>7767.2823790164548</v>
          </cell>
          <cell r="C17">
            <v>912.24307687060139</v>
          </cell>
          <cell r="D17">
            <v>7085.6495763567755</v>
          </cell>
          <cell r="E17">
            <v>643.37811724297774</v>
          </cell>
          <cell r="F17">
            <v>826.43876786268606</v>
          </cell>
          <cell r="G17">
            <v>531.71261848410131</v>
          </cell>
          <cell r="H17">
            <v>2367</v>
          </cell>
          <cell r="I17">
            <v>1473.2386692296859</v>
          </cell>
          <cell r="J17">
            <v>3487.1559300666668</v>
          </cell>
          <cell r="K17">
            <v>69935.178747669022</v>
          </cell>
          <cell r="L17">
            <v>3097.5225446117984</v>
          </cell>
          <cell r="M17">
            <v>216625.79283236072</v>
          </cell>
        </row>
        <row r="33">
          <cell r="B33">
            <v>31277.796113831209</v>
          </cell>
          <cell r="C33">
            <v>1362.5346284926693</v>
          </cell>
          <cell r="D33">
            <v>42617.080308028468</v>
          </cell>
          <cell r="E33">
            <v>1681.5695768206383</v>
          </cell>
          <cell r="F33">
            <v>520.23089454981618</v>
          </cell>
          <cell r="G33">
            <v>874.80444519715661</v>
          </cell>
          <cell r="H33">
            <v>525.61310000000003</v>
          </cell>
          <cell r="I33">
            <v>12145.225129524357</v>
          </cell>
          <cell r="J33">
            <v>6383.689430527199</v>
          </cell>
          <cell r="K33">
            <v>4663.714485916762</v>
          </cell>
          <cell r="L33">
            <v>15730.855203570629</v>
          </cell>
          <cell r="M33">
            <v>73364.217288751417</v>
          </cell>
          <cell r="N33">
            <v>1024.8926426879689</v>
          </cell>
          <cell r="O33">
            <v>685.46164695810569</v>
          </cell>
          <cell r="P33">
            <v>702.52459881214054</v>
          </cell>
        </row>
      </sheetData>
      <sheetData sheetId="10">
        <row r="16">
          <cell r="B16">
            <v>32326.644240357051</v>
          </cell>
          <cell r="C16">
            <v>546.21709946708984</v>
          </cell>
          <cell r="D16">
            <v>17657.365852472336</v>
          </cell>
          <cell r="E16">
            <v>18937.740000000002</v>
          </cell>
          <cell r="F16">
            <v>471.44358096583852</v>
          </cell>
          <cell r="G16">
            <v>8928.0759610000005</v>
          </cell>
          <cell r="H16">
            <v>373</v>
          </cell>
          <cell r="I16">
            <v>828.89758713136746</v>
          </cell>
          <cell r="J16">
            <v>309.17880000000002</v>
          </cell>
          <cell r="K16">
            <v>8798</v>
          </cell>
          <cell r="L16">
            <v>5322.6187769947719</v>
          </cell>
          <cell r="M16">
            <v>46828.4</v>
          </cell>
        </row>
        <row r="32">
          <cell r="B32">
            <v>3230.7710979093545</v>
          </cell>
          <cell r="C32">
            <v>843.88549906486082</v>
          </cell>
          <cell r="D32">
            <v>2726.4008803235638</v>
          </cell>
          <cell r="E32">
            <v>5461.7384616901591</v>
          </cell>
          <cell r="F32">
            <v>650.83628675730461</v>
          </cell>
          <cell r="G32">
            <v>3554.6975796459765</v>
          </cell>
          <cell r="H32">
            <v>377.5</v>
          </cell>
          <cell r="I32">
            <v>21200.624387417221</v>
          </cell>
          <cell r="J32">
            <v>8003.2357062500014</v>
          </cell>
          <cell r="K32">
            <v>1643.281633890067</v>
          </cell>
          <cell r="L32">
            <v>10060.853841446078</v>
          </cell>
          <cell r="M32">
            <v>16532.81633890067</v>
          </cell>
        </row>
      </sheetData>
      <sheetData sheetId="11">
        <row r="14">
          <cell r="B14">
            <v>171685</v>
          </cell>
          <cell r="C14">
            <v>1540.8293560881848</v>
          </cell>
          <cell r="D14">
            <v>264537.288</v>
          </cell>
          <cell r="E14">
            <v>66884</v>
          </cell>
          <cell r="F14">
            <v>1438.8633753962085</v>
          </cell>
          <cell r="G14">
            <v>96236.938000000009</v>
          </cell>
          <cell r="H14">
            <v>39417</v>
          </cell>
          <cell r="I14">
            <v>1779.7603318365173</v>
          </cell>
          <cell r="J14">
            <v>70152.812999999995</v>
          </cell>
          <cell r="K14">
            <v>614.40617134192337</v>
          </cell>
          <cell r="L14">
            <v>914.72571488768097</v>
          </cell>
          <cell r="M14">
            <v>562.01312431214387</v>
          </cell>
        </row>
        <row r="30">
          <cell r="B30">
            <v>228684.79529999997</v>
          </cell>
          <cell r="C30">
            <v>1766.8479115484947</v>
          </cell>
          <cell r="D30">
            <v>404051.25297869998</v>
          </cell>
          <cell r="H30">
            <v>660.39108672046018</v>
          </cell>
          <cell r="I30">
            <v>9851.6353347775257</v>
          </cell>
          <cell r="J30">
            <v>6505.9321647074148</v>
          </cell>
          <cell r="K30">
            <v>9595.9964064929845</v>
          </cell>
          <cell r="L30">
            <v>34999.999999999993</v>
          </cell>
          <cell r="M30">
            <v>335859.87422725442</v>
          </cell>
          <cell r="N30">
            <v>23173.592513039999</v>
          </cell>
          <cell r="O30">
            <v>863.99371066234107</v>
          </cell>
          <cell r="P30">
            <v>20021.838184718476</v>
          </cell>
        </row>
        <row r="46">
          <cell r="B46">
            <v>2808.0780368023306</v>
          </cell>
          <cell r="C46">
            <v>711.68258177191478</v>
          </cell>
          <cell r="D46">
            <v>1998.4602270484927</v>
          </cell>
        </row>
      </sheetData>
      <sheetData sheetId="12">
        <row r="16">
          <cell r="E16">
            <v>4350.4092795480701</v>
          </cell>
          <cell r="F16">
            <v>3245.0037689514807</v>
          </cell>
          <cell r="G16">
            <v>14117.094508614984</v>
          </cell>
          <cell r="H16">
            <v>14929</v>
          </cell>
          <cell r="I16">
            <v>2326.1155368745394</v>
          </cell>
          <cell r="J16">
            <v>34726.578849999998</v>
          </cell>
          <cell r="K16">
            <v>12273.2178</v>
          </cell>
          <cell r="L16">
            <v>3118.9313352095814</v>
          </cell>
          <cell r="M16">
            <v>38279.323580272001</v>
          </cell>
          <cell r="N16">
            <v>2344.9987000000001</v>
          </cell>
          <cell r="O16">
            <v>1024.8315869002399</v>
          </cell>
          <cell r="P16">
            <v>2403.2287390000001</v>
          </cell>
        </row>
        <row r="31">
          <cell r="B31">
            <v>9581.6709449999998</v>
          </cell>
          <cell r="C31">
            <v>1297.9532925947599</v>
          </cell>
          <cell r="D31">
            <v>12436.561351622295</v>
          </cell>
          <cell r="H31">
            <v>564</v>
          </cell>
          <cell r="I31">
            <v>402</v>
          </cell>
          <cell r="J31">
            <v>226.72800000000001</v>
          </cell>
        </row>
      </sheetData>
      <sheetData sheetId="13">
        <row r="16">
          <cell r="B16">
            <v>43706</v>
          </cell>
          <cell r="C16">
            <v>1989.0467441541209</v>
          </cell>
          <cell r="D16">
            <v>86933.277000000002</v>
          </cell>
          <cell r="E16">
            <v>22059</v>
          </cell>
          <cell r="F16">
            <v>2162.9335418649985</v>
          </cell>
          <cell r="G16">
            <v>47712.150999999998</v>
          </cell>
          <cell r="H16">
            <v>48792.4</v>
          </cell>
          <cell r="I16">
            <v>3299.4708315229418</v>
          </cell>
          <cell r="J16">
            <v>160989.10060000001</v>
          </cell>
          <cell r="K16">
            <v>105088.27372463075</v>
          </cell>
          <cell r="L16">
            <v>3168.8685043899786</v>
          </cell>
          <cell r="M16">
            <v>333010.92078669532</v>
          </cell>
          <cell r="N16">
            <v>4000</v>
          </cell>
          <cell r="O16">
            <v>1022.9999999999999</v>
          </cell>
          <cell r="P16">
            <v>4092</v>
          </cell>
        </row>
        <row r="31">
          <cell r="B31">
            <v>40319.972845128475</v>
          </cell>
          <cell r="C31">
            <v>1454.2133429475527</v>
          </cell>
          <cell r="D31">
            <v>58633.842498668833</v>
          </cell>
          <cell r="H31">
            <v>667.37508126438547</v>
          </cell>
          <cell r="I31">
            <v>13763.621161110861</v>
          </cell>
          <cell r="J31">
            <v>9185.4977908885758</v>
          </cell>
          <cell r="K31">
            <v>1354</v>
          </cell>
          <cell r="L31">
            <v>15704.800590841951</v>
          </cell>
          <cell r="M31">
            <v>21264.3</v>
          </cell>
          <cell r="N31">
            <v>4908.5630663080174</v>
          </cell>
          <cell r="O31">
            <v>897.13579904404219</v>
          </cell>
          <cell r="P31">
            <v>4403.647648650317</v>
          </cell>
        </row>
        <row r="46">
          <cell r="B46">
            <v>1768.1109577007305</v>
          </cell>
          <cell r="C46">
            <v>631.50067567808458</v>
          </cell>
          <cell r="D46">
            <v>1116.5632644618365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>
      <selection sqref="A1:XFD1048576"/>
    </sheetView>
  </sheetViews>
  <sheetFormatPr baseColWidth="10" defaultRowHeight="15"/>
  <cols>
    <col min="1" max="1" width="63.28515625" customWidth="1"/>
    <col min="2" max="2" width="20.28515625" customWidth="1"/>
    <col min="3" max="3" width="13.42578125" customWidth="1"/>
    <col min="4" max="4" width="19.85546875" customWidth="1"/>
    <col min="5" max="5" width="16.140625" customWidth="1"/>
    <col min="6" max="6" width="13.7109375" bestFit="1" customWidth="1"/>
    <col min="7" max="7" width="15.7109375" customWidth="1"/>
    <col min="8" max="8" width="15.85546875" customWidth="1"/>
    <col min="9" max="9" width="13.7109375" bestFit="1" customWidth="1"/>
    <col min="10" max="10" width="15.42578125" customWidth="1"/>
    <col min="11" max="11" width="17.140625" style="218" customWidth="1"/>
    <col min="12" max="12" width="12" style="218" customWidth="1"/>
    <col min="13" max="13" width="19" style="218" customWidth="1"/>
    <col min="14" max="14" width="15.42578125" customWidth="1"/>
    <col min="15" max="15" width="13.7109375" customWidth="1"/>
    <col min="16" max="16" width="14.85546875" customWidth="1"/>
    <col min="17" max="17" width="20.140625" customWidth="1"/>
    <col min="18" max="18" width="18.85546875" customWidth="1"/>
    <col min="19" max="19" width="8.7109375" customWidth="1"/>
    <col min="20" max="20" width="15" customWidth="1"/>
    <col min="255" max="255" width="72.5703125" customWidth="1"/>
    <col min="256" max="256" width="17.7109375" customWidth="1"/>
    <col min="257" max="257" width="13.5703125" customWidth="1"/>
    <col min="258" max="258" width="16.7109375" customWidth="1"/>
    <col min="259" max="259" width="16.140625" customWidth="1"/>
    <col min="260" max="260" width="13.5703125" customWidth="1"/>
    <col min="261" max="261" width="15.7109375" customWidth="1"/>
    <col min="262" max="262" width="15.85546875" customWidth="1"/>
    <col min="263" max="263" width="12.140625" customWidth="1"/>
    <col min="264" max="264" width="15.42578125" customWidth="1"/>
    <col min="265" max="265" width="17.140625" customWidth="1"/>
    <col min="266" max="266" width="12" customWidth="1"/>
    <col min="267" max="267" width="18.140625" customWidth="1"/>
    <col min="268" max="268" width="15.42578125" customWidth="1"/>
    <col min="269" max="269" width="10.42578125" customWidth="1"/>
    <col min="270" max="270" width="11.42578125" customWidth="1"/>
    <col min="271" max="271" width="20.140625" customWidth="1"/>
    <col min="272" max="272" width="18.85546875" customWidth="1"/>
    <col min="273" max="273" width="8.7109375" customWidth="1"/>
    <col min="274" max="274" width="15.42578125" customWidth="1"/>
    <col min="275" max="275" width="10.7109375" customWidth="1"/>
    <col min="276" max="276" width="15" customWidth="1"/>
    <col min="511" max="511" width="72.5703125" customWidth="1"/>
    <col min="512" max="512" width="17.7109375" customWidth="1"/>
    <col min="513" max="513" width="13.5703125" customWidth="1"/>
    <col min="514" max="514" width="16.7109375" customWidth="1"/>
    <col min="515" max="515" width="16.140625" customWidth="1"/>
    <col min="516" max="516" width="13.5703125" customWidth="1"/>
    <col min="517" max="517" width="15.7109375" customWidth="1"/>
    <col min="518" max="518" width="15.85546875" customWidth="1"/>
    <col min="519" max="519" width="12.140625" customWidth="1"/>
    <col min="520" max="520" width="15.42578125" customWidth="1"/>
    <col min="521" max="521" width="17.140625" customWidth="1"/>
    <col min="522" max="522" width="12" customWidth="1"/>
    <col min="523" max="523" width="18.140625" customWidth="1"/>
    <col min="524" max="524" width="15.42578125" customWidth="1"/>
    <col min="525" max="525" width="10.42578125" customWidth="1"/>
    <col min="526" max="526" width="11.42578125" customWidth="1"/>
    <col min="527" max="527" width="20.140625" customWidth="1"/>
    <col min="528" max="528" width="18.85546875" customWidth="1"/>
    <col min="529" max="529" width="8.7109375" customWidth="1"/>
    <col min="530" max="530" width="15.42578125" customWidth="1"/>
    <col min="531" max="531" width="10.7109375" customWidth="1"/>
    <col min="532" max="532" width="15" customWidth="1"/>
    <col min="767" max="767" width="72.5703125" customWidth="1"/>
    <col min="768" max="768" width="17.7109375" customWidth="1"/>
    <col min="769" max="769" width="13.5703125" customWidth="1"/>
    <col min="770" max="770" width="16.7109375" customWidth="1"/>
    <col min="771" max="771" width="16.140625" customWidth="1"/>
    <col min="772" max="772" width="13.5703125" customWidth="1"/>
    <col min="773" max="773" width="15.7109375" customWidth="1"/>
    <col min="774" max="774" width="15.85546875" customWidth="1"/>
    <col min="775" max="775" width="12.140625" customWidth="1"/>
    <col min="776" max="776" width="15.42578125" customWidth="1"/>
    <col min="777" max="777" width="17.140625" customWidth="1"/>
    <col min="778" max="778" width="12" customWidth="1"/>
    <col min="779" max="779" width="18.140625" customWidth="1"/>
    <col min="780" max="780" width="15.42578125" customWidth="1"/>
    <col min="781" max="781" width="10.42578125" customWidth="1"/>
    <col min="782" max="782" width="11.42578125" customWidth="1"/>
    <col min="783" max="783" width="20.140625" customWidth="1"/>
    <col min="784" max="784" width="18.85546875" customWidth="1"/>
    <col min="785" max="785" width="8.7109375" customWidth="1"/>
    <col min="786" max="786" width="15.42578125" customWidth="1"/>
    <col min="787" max="787" width="10.7109375" customWidth="1"/>
    <col min="788" max="788" width="15" customWidth="1"/>
    <col min="1023" max="1023" width="72.5703125" customWidth="1"/>
    <col min="1024" max="1024" width="17.7109375" customWidth="1"/>
    <col min="1025" max="1025" width="13.5703125" customWidth="1"/>
    <col min="1026" max="1026" width="16.7109375" customWidth="1"/>
    <col min="1027" max="1027" width="16.140625" customWidth="1"/>
    <col min="1028" max="1028" width="13.5703125" customWidth="1"/>
    <col min="1029" max="1029" width="15.7109375" customWidth="1"/>
    <col min="1030" max="1030" width="15.85546875" customWidth="1"/>
    <col min="1031" max="1031" width="12.140625" customWidth="1"/>
    <col min="1032" max="1032" width="15.42578125" customWidth="1"/>
    <col min="1033" max="1033" width="17.140625" customWidth="1"/>
    <col min="1034" max="1034" width="12" customWidth="1"/>
    <col min="1035" max="1035" width="18.140625" customWidth="1"/>
    <col min="1036" max="1036" width="15.42578125" customWidth="1"/>
    <col min="1037" max="1037" width="10.42578125" customWidth="1"/>
    <col min="1038" max="1038" width="11.42578125" customWidth="1"/>
    <col min="1039" max="1039" width="20.140625" customWidth="1"/>
    <col min="1040" max="1040" width="18.85546875" customWidth="1"/>
    <col min="1041" max="1041" width="8.7109375" customWidth="1"/>
    <col min="1042" max="1042" width="15.42578125" customWidth="1"/>
    <col min="1043" max="1043" width="10.7109375" customWidth="1"/>
    <col min="1044" max="1044" width="15" customWidth="1"/>
    <col min="1279" max="1279" width="72.5703125" customWidth="1"/>
    <col min="1280" max="1280" width="17.7109375" customWidth="1"/>
    <col min="1281" max="1281" width="13.5703125" customWidth="1"/>
    <col min="1282" max="1282" width="16.7109375" customWidth="1"/>
    <col min="1283" max="1283" width="16.140625" customWidth="1"/>
    <col min="1284" max="1284" width="13.5703125" customWidth="1"/>
    <col min="1285" max="1285" width="15.7109375" customWidth="1"/>
    <col min="1286" max="1286" width="15.85546875" customWidth="1"/>
    <col min="1287" max="1287" width="12.140625" customWidth="1"/>
    <col min="1288" max="1288" width="15.42578125" customWidth="1"/>
    <col min="1289" max="1289" width="17.140625" customWidth="1"/>
    <col min="1290" max="1290" width="12" customWidth="1"/>
    <col min="1291" max="1291" width="18.140625" customWidth="1"/>
    <col min="1292" max="1292" width="15.42578125" customWidth="1"/>
    <col min="1293" max="1293" width="10.42578125" customWidth="1"/>
    <col min="1294" max="1294" width="11.42578125" customWidth="1"/>
    <col min="1295" max="1295" width="20.140625" customWidth="1"/>
    <col min="1296" max="1296" width="18.85546875" customWidth="1"/>
    <col min="1297" max="1297" width="8.7109375" customWidth="1"/>
    <col min="1298" max="1298" width="15.42578125" customWidth="1"/>
    <col min="1299" max="1299" width="10.7109375" customWidth="1"/>
    <col min="1300" max="1300" width="15" customWidth="1"/>
    <col min="1535" max="1535" width="72.5703125" customWidth="1"/>
    <col min="1536" max="1536" width="17.7109375" customWidth="1"/>
    <col min="1537" max="1537" width="13.5703125" customWidth="1"/>
    <col min="1538" max="1538" width="16.7109375" customWidth="1"/>
    <col min="1539" max="1539" width="16.140625" customWidth="1"/>
    <col min="1540" max="1540" width="13.5703125" customWidth="1"/>
    <col min="1541" max="1541" width="15.7109375" customWidth="1"/>
    <col min="1542" max="1542" width="15.85546875" customWidth="1"/>
    <col min="1543" max="1543" width="12.140625" customWidth="1"/>
    <col min="1544" max="1544" width="15.42578125" customWidth="1"/>
    <col min="1545" max="1545" width="17.140625" customWidth="1"/>
    <col min="1546" max="1546" width="12" customWidth="1"/>
    <col min="1547" max="1547" width="18.140625" customWidth="1"/>
    <col min="1548" max="1548" width="15.42578125" customWidth="1"/>
    <col min="1549" max="1549" width="10.42578125" customWidth="1"/>
    <col min="1550" max="1550" width="11.42578125" customWidth="1"/>
    <col min="1551" max="1551" width="20.140625" customWidth="1"/>
    <col min="1552" max="1552" width="18.85546875" customWidth="1"/>
    <col min="1553" max="1553" width="8.7109375" customWidth="1"/>
    <col min="1554" max="1554" width="15.42578125" customWidth="1"/>
    <col min="1555" max="1555" width="10.7109375" customWidth="1"/>
    <col min="1556" max="1556" width="15" customWidth="1"/>
    <col min="1791" max="1791" width="72.5703125" customWidth="1"/>
    <col min="1792" max="1792" width="17.7109375" customWidth="1"/>
    <col min="1793" max="1793" width="13.5703125" customWidth="1"/>
    <col min="1794" max="1794" width="16.7109375" customWidth="1"/>
    <col min="1795" max="1795" width="16.140625" customWidth="1"/>
    <col min="1796" max="1796" width="13.5703125" customWidth="1"/>
    <col min="1797" max="1797" width="15.7109375" customWidth="1"/>
    <col min="1798" max="1798" width="15.85546875" customWidth="1"/>
    <col min="1799" max="1799" width="12.140625" customWidth="1"/>
    <col min="1800" max="1800" width="15.42578125" customWidth="1"/>
    <col min="1801" max="1801" width="17.140625" customWidth="1"/>
    <col min="1802" max="1802" width="12" customWidth="1"/>
    <col min="1803" max="1803" width="18.140625" customWidth="1"/>
    <col min="1804" max="1804" width="15.42578125" customWidth="1"/>
    <col min="1805" max="1805" width="10.42578125" customWidth="1"/>
    <col min="1806" max="1806" width="11.42578125" customWidth="1"/>
    <col min="1807" max="1807" width="20.140625" customWidth="1"/>
    <col min="1808" max="1808" width="18.85546875" customWidth="1"/>
    <col min="1809" max="1809" width="8.7109375" customWidth="1"/>
    <col min="1810" max="1810" width="15.42578125" customWidth="1"/>
    <col min="1811" max="1811" width="10.7109375" customWidth="1"/>
    <col min="1812" max="1812" width="15" customWidth="1"/>
    <col min="2047" max="2047" width="72.5703125" customWidth="1"/>
    <col min="2048" max="2048" width="17.7109375" customWidth="1"/>
    <col min="2049" max="2049" width="13.5703125" customWidth="1"/>
    <col min="2050" max="2050" width="16.7109375" customWidth="1"/>
    <col min="2051" max="2051" width="16.140625" customWidth="1"/>
    <col min="2052" max="2052" width="13.5703125" customWidth="1"/>
    <col min="2053" max="2053" width="15.7109375" customWidth="1"/>
    <col min="2054" max="2054" width="15.85546875" customWidth="1"/>
    <col min="2055" max="2055" width="12.140625" customWidth="1"/>
    <col min="2056" max="2056" width="15.42578125" customWidth="1"/>
    <col min="2057" max="2057" width="17.140625" customWidth="1"/>
    <col min="2058" max="2058" width="12" customWidth="1"/>
    <col min="2059" max="2059" width="18.140625" customWidth="1"/>
    <col min="2060" max="2060" width="15.42578125" customWidth="1"/>
    <col min="2061" max="2061" width="10.42578125" customWidth="1"/>
    <col min="2062" max="2062" width="11.42578125" customWidth="1"/>
    <col min="2063" max="2063" width="20.140625" customWidth="1"/>
    <col min="2064" max="2064" width="18.85546875" customWidth="1"/>
    <col min="2065" max="2065" width="8.7109375" customWidth="1"/>
    <col min="2066" max="2066" width="15.42578125" customWidth="1"/>
    <col min="2067" max="2067" width="10.7109375" customWidth="1"/>
    <col min="2068" max="2068" width="15" customWidth="1"/>
    <col min="2303" max="2303" width="72.5703125" customWidth="1"/>
    <col min="2304" max="2304" width="17.7109375" customWidth="1"/>
    <col min="2305" max="2305" width="13.5703125" customWidth="1"/>
    <col min="2306" max="2306" width="16.7109375" customWidth="1"/>
    <col min="2307" max="2307" width="16.140625" customWidth="1"/>
    <col min="2308" max="2308" width="13.5703125" customWidth="1"/>
    <col min="2309" max="2309" width="15.7109375" customWidth="1"/>
    <col min="2310" max="2310" width="15.85546875" customWidth="1"/>
    <col min="2311" max="2311" width="12.140625" customWidth="1"/>
    <col min="2312" max="2312" width="15.42578125" customWidth="1"/>
    <col min="2313" max="2313" width="17.140625" customWidth="1"/>
    <col min="2314" max="2314" width="12" customWidth="1"/>
    <col min="2315" max="2315" width="18.140625" customWidth="1"/>
    <col min="2316" max="2316" width="15.42578125" customWidth="1"/>
    <col min="2317" max="2317" width="10.42578125" customWidth="1"/>
    <col min="2318" max="2318" width="11.42578125" customWidth="1"/>
    <col min="2319" max="2319" width="20.140625" customWidth="1"/>
    <col min="2320" max="2320" width="18.85546875" customWidth="1"/>
    <col min="2321" max="2321" width="8.7109375" customWidth="1"/>
    <col min="2322" max="2322" width="15.42578125" customWidth="1"/>
    <col min="2323" max="2323" width="10.7109375" customWidth="1"/>
    <col min="2324" max="2324" width="15" customWidth="1"/>
    <col min="2559" max="2559" width="72.5703125" customWidth="1"/>
    <col min="2560" max="2560" width="17.7109375" customWidth="1"/>
    <col min="2561" max="2561" width="13.5703125" customWidth="1"/>
    <col min="2562" max="2562" width="16.7109375" customWidth="1"/>
    <col min="2563" max="2563" width="16.140625" customWidth="1"/>
    <col min="2564" max="2564" width="13.5703125" customWidth="1"/>
    <col min="2565" max="2565" width="15.7109375" customWidth="1"/>
    <col min="2566" max="2566" width="15.85546875" customWidth="1"/>
    <col min="2567" max="2567" width="12.140625" customWidth="1"/>
    <col min="2568" max="2568" width="15.42578125" customWidth="1"/>
    <col min="2569" max="2569" width="17.140625" customWidth="1"/>
    <col min="2570" max="2570" width="12" customWidth="1"/>
    <col min="2571" max="2571" width="18.140625" customWidth="1"/>
    <col min="2572" max="2572" width="15.42578125" customWidth="1"/>
    <col min="2573" max="2573" width="10.42578125" customWidth="1"/>
    <col min="2574" max="2574" width="11.42578125" customWidth="1"/>
    <col min="2575" max="2575" width="20.140625" customWidth="1"/>
    <col min="2576" max="2576" width="18.85546875" customWidth="1"/>
    <col min="2577" max="2577" width="8.7109375" customWidth="1"/>
    <col min="2578" max="2578" width="15.42578125" customWidth="1"/>
    <col min="2579" max="2579" width="10.7109375" customWidth="1"/>
    <col min="2580" max="2580" width="15" customWidth="1"/>
    <col min="2815" max="2815" width="72.5703125" customWidth="1"/>
    <col min="2816" max="2816" width="17.7109375" customWidth="1"/>
    <col min="2817" max="2817" width="13.5703125" customWidth="1"/>
    <col min="2818" max="2818" width="16.7109375" customWidth="1"/>
    <col min="2819" max="2819" width="16.140625" customWidth="1"/>
    <col min="2820" max="2820" width="13.5703125" customWidth="1"/>
    <col min="2821" max="2821" width="15.7109375" customWidth="1"/>
    <col min="2822" max="2822" width="15.85546875" customWidth="1"/>
    <col min="2823" max="2823" width="12.140625" customWidth="1"/>
    <col min="2824" max="2824" width="15.42578125" customWidth="1"/>
    <col min="2825" max="2825" width="17.140625" customWidth="1"/>
    <col min="2826" max="2826" width="12" customWidth="1"/>
    <col min="2827" max="2827" width="18.140625" customWidth="1"/>
    <col min="2828" max="2828" width="15.42578125" customWidth="1"/>
    <col min="2829" max="2829" width="10.42578125" customWidth="1"/>
    <col min="2830" max="2830" width="11.42578125" customWidth="1"/>
    <col min="2831" max="2831" width="20.140625" customWidth="1"/>
    <col min="2832" max="2832" width="18.85546875" customWidth="1"/>
    <col min="2833" max="2833" width="8.7109375" customWidth="1"/>
    <col min="2834" max="2834" width="15.42578125" customWidth="1"/>
    <col min="2835" max="2835" width="10.7109375" customWidth="1"/>
    <col min="2836" max="2836" width="15" customWidth="1"/>
    <col min="3071" max="3071" width="72.5703125" customWidth="1"/>
    <col min="3072" max="3072" width="17.7109375" customWidth="1"/>
    <col min="3073" max="3073" width="13.5703125" customWidth="1"/>
    <col min="3074" max="3074" width="16.7109375" customWidth="1"/>
    <col min="3075" max="3075" width="16.140625" customWidth="1"/>
    <col min="3076" max="3076" width="13.5703125" customWidth="1"/>
    <col min="3077" max="3077" width="15.7109375" customWidth="1"/>
    <col min="3078" max="3078" width="15.85546875" customWidth="1"/>
    <col min="3079" max="3079" width="12.140625" customWidth="1"/>
    <col min="3080" max="3080" width="15.42578125" customWidth="1"/>
    <col min="3081" max="3081" width="17.140625" customWidth="1"/>
    <col min="3082" max="3082" width="12" customWidth="1"/>
    <col min="3083" max="3083" width="18.140625" customWidth="1"/>
    <col min="3084" max="3084" width="15.42578125" customWidth="1"/>
    <col min="3085" max="3085" width="10.42578125" customWidth="1"/>
    <col min="3086" max="3086" width="11.42578125" customWidth="1"/>
    <col min="3087" max="3087" width="20.140625" customWidth="1"/>
    <col min="3088" max="3088" width="18.85546875" customWidth="1"/>
    <col min="3089" max="3089" width="8.7109375" customWidth="1"/>
    <col min="3090" max="3090" width="15.42578125" customWidth="1"/>
    <col min="3091" max="3091" width="10.7109375" customWidth="1"/>
    <col min="3092" max="3092" width="15" customWidth="1"/>
    <col min="3327" max="3327" width="72.5703125" customWidth="1"/>
    <col min="3328" max="3328" width="17.7109375" customWidth="1"/>
    <col min="3329" max="3329" width="13.5703125" customWidth="1"/>
    <col min="3330" max="3330" width="16.7109375" customWidth="1"/>
    <col min="3331" max="3331" width="16.140625" customWidth="1"/>
    <col min="3332" max="3332" width="13.5703125" customWidth="1"/>
    <col min="3333" max="3333" width="15.7109375" customWidth="1"/>
    <col min="3334" max="3334" width="15.85546875" customWidth="1"/>
    <col min="3335" max="3335" width="12.140625" customWidth="1"/>
    <col min="3336" max="3336" width="15.42578125" customWidth="1"/>
    <col min="3337" max="3337" width="17.140625" customWidth="1"/>
    <col min="3338" max="3338" width="12" customWidth="1"/>
    <col min="3339" max="3339" width="18.140625" customWidth="1"/>
    <col min="3340" max="3340" width="15.42578125" customWidth="1"/>
    <col min="3341" max="3341" width="10.42578125" customWidth="1"/>
    <col min="3342" max="3342" width="11.42578125" customWidth="1"/>
    <col min="3343" max="3343" width="20.140625" customWidth="1"/>
    <col min="3344" max="3344" width="18.85546875" customWidth="1"/>
    <col min="3345" max="3345" width="8.7109375" customWidth="1"/>
    <col min="3346" max="3346" width="15.42578125" customWidth="1"/>
    <col min="3347" max="3347" width="10.7109375" customWidth="1"/>
    <col min="3348" max="3348" width="15" customWidth="1"/>
    <col min="3583" max="3583" width="72.5703125" customWidth="1"/>
    <col min="3584" max="3584" width="17.7109375" customWidth="1"/>
    <col min="3585" max="3585" width="13.5703125" customWidth="1"/>
    <col min="3586" max="3586" width="16.7109375" customWidth="1"/>
    <col min="3587" max="3587" width="16.140625" customWidth="1"/>
    <col min="3588" max="3588" width="13.5703125" customWidth="1"/>
    <col min="3589" max="3589" width="15.7109375" customWidth="1"/>
    <col min="3590" max="3590" width="15.85546875" customWidth="1"/>
    <col min="3591" max="3591" width="12.140625" customWidth="1"/>
    <col min="3592" max="3592" width="15.42578125" customWidth="1"/>
    <col min="3593" max="3593" width="17.140625" customWidth="1"/>
    <col min="3594" max="3594" width="12" customWidth="1"/>
    <col min="3595" max="3595" width="18.140625" customWidth="1"/>
    <col min="3596" max="3596" width="15.42578125" customWidth="1"/>
    <col min="3597" max="3597" width="10.42578125" customWidth="1"/>
    <col min="3598" max="3598" width="11.42578125" customWidth="1"/>
    <col min="3599" max="3599" width="20.140625" customWidth="1"/>
    <col min="3600" max="3600" width="18.85546875" customWidth="1"/>
    <col min="3601" max="3601" width="8.7109375" customWidth="1"/>
    <col min="3602" max="3602" width="15.42578125" customWidth="1"/>
    <col min="3603" max="3603" width="10.7109375" customWidth="1"/>
    <col min="3604" max="3604" width="15" customWidth="1"/>
    <col min="3839" max="3839" width="72.5703125" customWidth="1"/>
    <col min="3840" max="3840" width="17.7109375" customWidth="1"/>
    <col min="3841" max="3841" width="13.5703125" customWidth="1"/>
    <col min="3842" max="3842" width="16.7109375" customWidth="1"/>
    <col min="3843" max="3843" width="16.140625" customWidth="1"/>
    <col min="3844" max="3844" width="13.5703125" customWidth="1"/>
    <col min="3845" max="3845" width="15.7109375" customWidth="1"/>
    <col min="3846" max="3846" width="15.85546875" customWidth="1"/>
    <col min="3847" max="3847" width="12.140625" customWidth="1"/>
    <col min="3848" max="3848" width="15.42578125" customWidth="1"/>
    <col min="3849" max="3849" width="17.140625" customWidth="1"/>
    <col min="3850" max="3850" width="12" customWidth="1"/>
    <col min="3851" max="3851" width="18.140625" customWidth="1"/>
    <col min="3852" max="3852" width="15.42578125" customWidth="1"/>
    <col min="3853" max="3853" width="10.42578125" customWidth="1"/>
    <col min="3854" max="3854" width="11.42578125" customWidth="1"/>
    <col min="3855" max="3855" width="20.140625" customWidth="1"/>
    <col min="3856" max="3856" width="18.85546875" customWidth="1"/>
    <col min="3857" max="3857" width="8.7109375" customWidth="1"/>
    <col min="3858" max="3858" width="15.42578125" customWidth="1"/>
    <col min="3859" max="3859" width="10.7109375" customWidth="1"/>
    <col min="3860" max="3860" width="15" customWidth="1"/>
    <col min="4095" max="4095" width="72.5703125" customWidth="1"/>
    <col min="4096" max="4096" width="17.7109375" customWidth="1"/>
    <col min="4097" max="4097" width="13.5703125" customWidth="1"/>
    <col min="4098" max="4098" width="16.7109375" customWidth="1"/>
    <col min="4099" max="4099" width="16.140625" customWidth="1"/>
    <col min="4100" max="4100" width="13.5703125" customWidth="1"/>
    <col min="4101" max="4101" width="15.7109375" customWidth="1"/>
    <col min="4102" max="4102" width="15.85546875" customWidth="1"/>
    <col min="4103" max="4103" width="12.140625" customWidth="1"/>
    <col min="4104" max="4104" width="15.42578125" customWidth="1"/>
    <col min="4105" max="4105" width="17.140625" customWidth="1"/>
    <col min="4106" max="4106" width="12" customWidth="1"/>
    <col min="4107" max="4107" width="18.140625" customWidth="1"/>
    <col min="4108" max="4108" width="15.42578125" customWidth="1"/>
    <col min="4109" max="4109" width="10.42578125" customWidth="1"/>
    <col min="4110" max="4110" width="11.42578125" customWidth="1"/>
    <col min="4111" max="4111" width="20.140625" customWidth="1"/>
    <col min="4112" max="4112" width="18.85546875" customWidth="1"/>
    <col min="4113" max="4113" width="8.7109375" customWidth="1"/>
    <col min="4114" max="4114" width="15.42578125" customWidth="1"/>
    <col min="4115" max="4115" width="10.7109375" customWidth="1"/>
    <col min="4116" max="4116" width="15" customWidth="1"/>
    <col min="4351" max="4351" width="72.5703125" customWidth="1"/>
    <col min="4352" max="4352" width="17.7109375" customWidth="1"/>
    <col min="4353" max="4353" width="13.5703125" customWidth="1"/>
    <col min="4354" max="4354" width="16.7109375" customWidth="1"/>
    <col min="4355" max="4355" width="16.140625" customWidth="1"/>
    <col min="4356" max="4356" width="13.5703125" customWidth="1"/>
    <col min="4357" max="4357" width="15.7109375" customWidth="1"/>
    <col min="4358" max="4358" width="15.85546875" customWidth="1"/>
    <col min="4359" max="4359" width="12.140625" customWidth="1"/>
    <col min="4360" max="4360" width="15.42578125" customWidth="1"/>
    <col min="4361" max="4361" width="17.140625" customWidth="1"/>
    <col min="4362" max="4362" width="12" customWidth="1"/>
    <col min="4363" max="4363" width="18.140625" customWidth="1"/>
    <col min="4364" max="4364" width="15.42578125" customWidth="1"/>
    <col min="4365" max="4365" width="10.42578125" customWidth="1"/>
    <col min="4366" max="4366" width="11.42578125" customWidth="1"/>
    <col min="4367" max="4367" width="20.140625" customWidth="1"/>
    <col min="4368" max="4368" width="18.85546875" customWidth="1"/>
    <col min="4369" max="4369" width="8.7109375" customWidth="1"/>
    <col min="4370" max="4370" width="15.42578125" customWidth="1"/>
    <col min="4371" max="4371" width="10.7109375" customWidth="1"/>
    <col min="4372" max="4372" width="15" customWidth="1"/>
    <col min="4607" max="4607" width="72.5703125" customWidth="1"/>
    <col min="4608" max="4608" width="17.7109375" customWidth="1"/>
    <col min="4609" max="4609" width="13.5703125" customWidth="1"/>
    <col min="4610" max="4610" width="16.7109375" customWidth="1"/>
    <col min="4611" max="4611" width="16.140625" customWidth="1"/>
    <col min="4612" max="4612" width="13.5703125" customWidth="1"/>
    <col min="4613" max="4613" width="15.7109375" customWidth="1"/>
    <col min="4614" max="4614" width="15.85546875" customWidth="1"/>
    <col min="4615" max="4615" width="12.140625" customWidth="1"/>
    <col min="4616" max="4616" width="15.42578125" customWidth="1"/>
    <col min="4617" max="4617" width="17.140625" customWidth="1"/>
    <col min="4618" max="4618" width="12" customWidth="1"/>
    <col min="4619" max="4619" width="18.140625" customWidth="1"/>
    <col min="4620" max="4620" width="15.42578125" customWidth="1"/>
    <col min="4621" max="4621" width="10.42578125" customWidth="1"/>
    <col min="4622" max="4622" width="11.42578125" customWidth="1"/>
    <col min="4623" max="4623" width="20.140625" customWidth="1"/>
    <col min="4624" max="4624" width="18.85546875" customWidth="1"/>
    <col min="4625" max="4625" width="8.7109375" customWidth="1"/>
    <col min="4626" max="4626" width="15.42578125" customWidth="1"/>
    <col min="4627" max="4627" width="10.7109375" customWidth="1"/>
    <col min="4628" max="4628" width="15" customWidth="1"/>
    <col min="4863" max="4863" width="72.5703125" customWidth="1"/>
    <col min="4864" max="4864" width="17.7109375" customWidth="1"/>
    <col min="4865" max="4865" width="13.5703125" customWidth="1"/>
    <col min="4866" max="4866" width="16.7109375" customWidth="1"/>
    <col min="4867" max="4867" width="16.140625" customWidth="1"/>
    <col min="4868" max="4868" width="13.5703125" customWidth="1"/>
    <col min="4869" max="4869" width="15.7109375" customWidth="1"/>
    <col min="4870" max="4870" width="15.85546875" customWidth="1"/>
    <col min="4871" max="4871" width="12.140625" customWidth="1"/>
    <col min="4872" max="4872" width="15.42578125" customWidth="1"/>
    <col min="4873" max="4873" width="17.140625" customWidth="1"/>
    <col min="4874" max="4874" width="12" customWidth="1"/>
    <col min="4875" max="4875" width="18.140625" customWidth="1"/>
    <col min="4876" max="4876" width="15.42578125" customWidth="1"/>
    <col min="4877" max="4877" width="10.42578125" customWidth="1"/>
    <col min="4878" max="4878" width="11.42578125" customWidth="1"/>
    <col min="4879" max="4879" width="20.140625" customWidth="1"/>
    <col min="4880" max="4880" width="18.85546875" customWidth="1"/>
    <col min="4881" max="4881" width="8.7109375" customWidth="1"/>
    <col min="4882" max="4882" width="15.42578125" customWidth="1"/>
    <col min="4883" max="4883" width="10.7109375" customWidth="1"/>
    <col min="4884" max="4884" width="15" customWidth="1"/>
    <col min="5119" max="5119" width="72.5703125" customWidth="1"/>
    <col min="5120" max="5120" width="17.7109375" customWidth="1"/>
    <col min="5121" max="5121" width="13.5703125" customWidth="1"/>
    <col min="5122" max="5122" width="16.7109375" customWidth="1"/>
    <col min="5123" max="5123" width="16.140625" customWidth="1"/>
    <col min="5124" max="5124" width="13.5703125" customWidth="1"/>
    <col min="5125" max="5125" width="15.7109375" customWidth="1"/>
    <col min="5126" max="5126" width="15.85546875" customWidth="1"/>
    <col min="5127" max="5127" width="12.140625" customWidth="1"/>
    <col min="5128" max="5128" width="15.42578125" customWidth="1"/>
    <col min="5129" max="5129" width="17.140625" customWidth="1"/>
    <col min="5130" max="5130" width="12" customWidth="1"/>
    <col min="5131" max="5131" width="18.140625" customWidth="1"/>
    <col min="5132" max="5132" width="15.42578125" customWidth="1"/>
    <col min="5133" max="5133" width="10.42578125" customWidth="1"/>
    <col min="5134" max="5134" width="11.42578125" customWidth="1"/>
    <col min="5135" max="5135" width="20.140625" customWidth="1"/>
    <col min="5136" max="5136" width="18.85546875" customWidth="1"/>
    <col min="5137" max="5137" width="8.7109375" customWidth="1"/>
    <col min="5138" max="5138" width="15.42578125" customWidth="1"/>
    <col min="5139" max="5139" width="10.7109375" customWidth="1"/>
    <col min="5140" max="5140" width="15" customWidth="1"/>
    <col min="5375" max="5375" width="72.5703125" customWidth="1"/>
    <col min="5376" max="5376" width="17.7109375" customWidth="1"/>
    <col min="5377" max="5377" width="13.5703125" customWidth="1"/>
    <col min="5378" max="5378" width="16.7109375" customWidth="1"/>
    <col min="5379" max="5379" width="16.140625" customWidth="1"/>
    <col min="5380" max="5380" width="13.5703125" customWidth="1"/>
    <col min="5381" max="5381" width="15.7109375" customWidth="1"/>
    <col min="5382" max="5382" width="15.85546875" customWidth="1"/>
    <col min="5383" max="5383" width="12.140625" customWidth="1"/>
    <col min="5384" max="5384" width="15.42578125" customWidth="1"/>
    <col min="5385" max="5385" width="17.140625" customWidth="1"/>
    <col min="5386" max="5386" width="12" customWidth="1"/>
    <col min="5387" max="5387" width="18.140625" customWidth="1"/>
    <col min="5388" max="5388" width="15.42578125" customWidth="1"/>
    <col min="5389" max="5389" width="10.42578125" customWidth="1"/>
    <col min="5390" max="5390" width="11.42578125" customWidth="1"/>
    <col min="5391" max="5391" width="20.140625" customWidth="1"/>
    <col min="5392" max="5392" width="18.85546875" customWidth="1"/>
    <col min="5393" max="5393" width="8.7109375" customWidth="1"/>
    <col min="5394" max="5394" width="15.42578125" customWidth="1"/>
    <col min="5395" max="5395" width="10.7109375" customWidth="1"/>
    <col min="5396" max="5396" width="15" customWidth="1"/>
    <col min="5631" max="5631" width="72.5703125" customWidth="1"/>
    <col min="5632" max="5632" width="17.7109375" customWidth="1"/>
    <col min="5633" max="5633" width="13.5703125" customWidth="1"/>
    <col min="5634" max="5634" width="16.7109375" customWidth="1"/>
    <col min="5635" max="5635" width="16.140625" customWidth="1"/>
    <col min="5636" max="5636" width="13.5703125" customWidth="1"/>
    <col min="5637" max="5637" width="15.7109375" customWidth="1"/>
    <col min="5638" max="5638" width="15.85546875" customWidth="1"/>
    <col min="5639" max="5639" width="12.140625" customWidth="1"/>
    <col min="5640" max="5640" width="15.42578125" customWidth="1"/>
    <col min="5641" max="5641" width="17.140625" customWidth="1"/>
    <col min="5642" max="5642" width="12" customWidth="1"/>
    <col min="5643" max="5643" width="18.140625" customWidth="1"/>
    <col min="5644" max="5644" width="15.42578125" customWidth="1"/>
    <col min="5645" max="5645" width="10.42578125" customWidth="1"/>
    <col min="5646" max="5646" width="11.42578125" customWidth="1"/>
    <col min="5647" max="5647" width="20.140625" customWidth="1"/>
    <col min="5648" max="5648" width="18.85546875" customWidth="1"/>
    <col min="5649" max="5649" width="8.7109375" customWidth="1"/>
    <col min="5650" max="5650" width="15.42578125" customWidth="1"/>
    <col min="5651" max="5651" width="10.7109375" customWidth="1"/>
    <col min="5652" max="5652" width="15" customWidth="1"/>
    <col min="5887" max="5887" width="72.5703125" customWidth="1"/>
    <col min="5888" max="5888" width="17.7109375" customWidth="1"/>
    <col min="5889" max="5889" width="13.5703125" customWidth="1"/>
    <col min="5890" max="5890" width="16.7109375" customWidth="1"/>
    <col min="5891" max="5891" width="16.140625" customWidth="1"/>
    <col min="5892" max="5892" width="13.5703125" customWidth="1"/>
    <col min="5893" max="5893" width="15.7109375" customWidth="1"/>
    <col min="5894" max="5894" width="15.85546875" customWidth="1"/>
    <col min="5895" max="5895" width="12.140625" customWidth="1"/>
    <col min="5896" max="5896" width="15.42578125" customWidth="1"/>
    <col min="5897" max="5897" width="17.140625" customWidth="1"/>
    <col min="5898" max="5898" width="12" customWidth="1"/>
    <col min="5899" max="5899" width="18.140625" customWidth="1"/>
    <col min="5900" max="5900" width="15.42578125" customWidth="1"/>
    <col min="5901" max="5901" width="10.42578125" customWidth="1"/>
    <col min="5902" max="5902" width="11.42578125" customWidth="1"/>
    <col min="5903" max="5903" width="20.140625" customWidth="1"/>
    <col min="5904" max="5904" width="18.85546875" customWidth="1"/>
    <col min="5905" max="5905" width="8.7109375" customWidth="1"/>
    <col min="5906" max="5906" width="15.42578125" customWidth="1"/>
    <col min="5907" max="5907" width="10.7109375" customWidth="1"/>
    <col min="5908" max="5908" width="15" customWidth="1"/>
    <col min="6143" max="6143" width="72.5703125" customWidth="1"/>
    <col min="6144" max="6144" width="17.7109375" customWidth="1"/>
    <col min="6145" max="6145" width="13.5703125" customWidth="1"/>
    <col min="6146" max="6146" width="16.7109375" customWidth="1"/>
    <col min="6147" max="6147" width="16.140625" customWidth="1"/>
    <col min="6148" max="6148" width="13.5703125" customWidth="1"/>
    <col min="6149" max="6149" width="15.7109375" customWidth="1"/>
    <col min="6150" max="6150" width="15.85546875" customWidth="1"/>
    <col min="6151" max="6151" width="12.140625" customWidth="1"/>
    <col min="6152" max="6152" width="15.42578125" customWidth="1"/>
    <col min="6153" max="6153" width="17.140625" customWidth="1"/>
    <col min="6154" max="6154" width="12" customWidth="1"/>
    <col min="6155" max="6155" width="18.140625" customWidth="1"/>
    <col min="6156" max="6156" width="15.42578125" customWidth="1"/>
    <col min="6157" max="6157" width="10.42578125" customWidth="1"/>
    <col min="6158" max="6158" width="11.42578125" customWidth="1"/>
    <col min="6159" max="6159" width="20.140625" customWidth="1"/>
    <col min="6160" max="6160" width="18.85546875" customWidth="1"/>
    <col min="6161" max="6161" width="8.7109375" customWidth="1"/>
    <col min="6162" max="6162" width="15.42578125" customWidth="1"/>
    <col min="6163" max="6163" width="10.7109375" customWidth="1"/>
    <col min="6164" max="6164" width="15" customWidth="1"/>
    <col min="6399" max="6399" width="72.5703125" customWidth="1"/>
    <col min="6400" max="6400" width="17.7109375" customWidth="1"/>
    <col min="6401" max="6401" width="13.5703125" customWidth="1"/>
    <col min="6402" max="6402" width="16.7109375" customWidth="1"/>
    <col min="6403" max="6403" width="16.140625" customWidth="1"/>
    <col min="6404" max="6404" width="13.5703125" customWidth="1"/>
    <col min="6405" max="6405" width="15.7109375" customWidth="1"/>
    <col min="6406" max="6406" width="15.85546875" customWidth="1"/>
    <col min="6407" max="6407" width="12.140625" customWidth="1"/>
    <col min="6408" max="6408" width="15.42578125" customWidth="1"/>
    <col min="6409" max="6409" width="17.140625" customWidth="1"/>
    <col min="6410" max="6410" width="12" customWidth="1"/>
    <col min="6411" max="6411" width="18.140625" customWidth="1"/>
    <col min="6412" max="6412" width="15.42578125" customWidth="1"/>
    <col min="6413" max="6413" width="10.42578125" customWidth="1"/>
    <col min="6414" max="6414" width="11.42578125" customWidth="1"/>
    <col min="6415" max="6415" width="20.140625" customWidth="1"/>
    <col min="6416" max="6416" width="18.85546875" customWidth="1"/>
    <col min="6417" max="6417" width="8.7109375" customWidth="1"/>
    <col min="6418" max="6418" width="15.42578125" customWidth="1"/>
    <col min="6419" max="6419" width="10.7109375" customWidth="1"/>
    <col min="6420" max="6420" width="15" customWidth="1"/>
    <col min="6655" max="6655" width="72.5703125" customWidth="1"/>
    <col min="6656" max="6656" width="17.7109375" customWidth="1"/>
    <col min="6657" max="6657" width="13.5703125" customWidth="1"/>
    <col min="6658" max="6658" width="16.7109375" customWidth="1"/>
    <col min="6659" max="6659" width="16.140625" customWidth="1"/>
    <col min="6660" max="6660" width="13.5703125" customWidth="1"/>
    <col min="6661" max="6661" width="15.7109375" customWidth="1"/>
    <col min="6662" max="6662" width="15.85546875" customWidth="1"/>
    <col min="6663" max="6663" width="12.140625" customWidth="1"/>
    <col min="6664" max="6664" width="15.42578125" customWidth="1"/>
    <col min="6665" max="6665" width="17.140625" customWidth="1"/>
    <col min="6666" max="6666" width="12" customWidth="1"/>
    <col min="6667" max="6667" width="18.140625" customWidth="1"/>
    <col min="6668" max="6668" width="15.42578125" customWidth="1"/>
    <col min="6669" max="6669" width="10.42578125" customWidth="1"/>
    <col min="6670" max="6670" width="11.42578125" customWidth="1"/>
    <col min="6671" max="6671" width="20.140625" customWidth="1"/>
    <col min="6672" max="6672" width="18.85546875" customWidth="1"/>
    <col min="6673" max="6673" width="8.7109375" customWidth="1"/>
    <col min="6674" max="6674" width="15.42578125" customWidth="1"/>
    <col min="6675" max="6675" width="10.7109375" customWidth="1"/>
    <col min="6676" max="6676" width="15" customWidth="1"/>
    <col min="6911" max="6911" width="72.5703125" customWidth="1"/>
    <col min="6912" max="6912" width="17.7109375" customWidth="1"/>
    <col min="6913" max="6913" width="13.5703125" customWidth="1"/>
    <col min="6914" max="6914" width="16.7109375" customWidth="1"/>
    <col min="6915" max="6915" width="16.140625" customWidth="1"/>
    <col min="6916" max="6916" width="13.5703125" customWidth="1"/>
    <col min="6917" max="6917" width="15.7109375" customWidth="1"/>
    <col min="6918" max="6918" width="15.85546875" customWidth="1"/>
    <col min="6919" max="6919" width="12.140625" customWidth="1"/>
    <col min="6920" max="6920" width="15.42578125" customWidth="1"/>
    <col min="6921" max="6921" width="17.140625" customWidth="1"/>
    <col min="6922" max="6922" width="12" customWidth="1"/>
    <col min="6923" max="6923" width="18.140625" customWidth="1"/>
    <col min="6924" max="6924" width="15.42578125" customWidth="1"/>
    <col min="6925" max="6925" width="10.42578125" customWidth="1"/>
    <col min="6926" max="6926" width="11.42578125" customWidth="1"/>
    <col min="6927" max="6927" width="20.140625" customWidth="1"/>
    <col min="6928" max="6928" width="18.85546875" customWidth="1"/>
    <col min="6929" max="6929" width="8.7109375" customWidth="1"/>
    <col min="6930" max="6930" width="15.42578125" customWidth="1"/>
    <col min="6931" max="6931" width="10.7109375" customWidth="1"/>
    <col min="6932" max="6932" width="15" customWidth="1"/>
    <col min="7167" max="7167" width="72.5703125" customWidth="1"/>
    <col min="7168" max="7168" width="17.7109375" customWidth="1"/>
    <col min="7169" max="7169" width="13.5703125" customWidth="1"/>
    <col min="7170" max="7170" width="16.7109375" customWidth="1"/>
    <col min="7171" max="7171" width="16.140625" customWidth="1"/>
    <col min="7172" max="7172" width="13.5703125" customWidth="1"/>
    <col min="7173" max="7173" width="15.7109375" customWidth="1"/>
    <col min="7174" max="7174" width="15.85546875" customWidth="1"/>
    <col min="7175" max="7175" width="12.140625" customWidth="1"/>
    <col min="7176" max="7176" width="15.42578125" customWidth="1"/>
    <col min="7177" max="7177" width="17.140625" customWidth="1"/>
    <col min="7178" max="7178" width="12" customWidth="1"/>
    <col min="7179" max="7179" width="18.140625" customWidth="1"/>
    <col min="7180" max="7180" width="15.42578125" customWidth="1"/>
    <col min="7181" max="7181" width="10.42578125" customWidth="1"/>
    <col min="7182" max="7182" width="11.42578125" customWidth="1"/>
    <col min="7183" max="7183" width="20.140625" customWidth="1"/>
    <col min="7184" max="7184" width="18.85546875" customWidth="1"/>
    <col min="7185" max="7185" width="8.7109375" customWidth="1"/>
    <col min="7186" max="7186" width="15.42578125" customWidth="1"/>
    <col min="7187" max="7187" width="10.7109375" customWidth="1"/>
    <col min="7188" max="7188" width="15" customWidth="1"/>
    <col min="7423" max="7423" width="72.5703125" customWidth="1"/>
    <col min="7424" max="7424" width="17.7109375" customWidth="1"/>
    <col min="7425" max="7425" width="13.5703125" customWidth="1"/>
    <col min="7426" max="7426" width="16.7109375" customWidth="1"/>
    <col min="7427" max="7427" width="16.140625" customWidth="1"/>
    <col min="7428" max="7428" width="13.5703125" customWidth="1"/>
    <col min="7429" max="7429" width="15.7109375" customWidth="1"/>
    <col min="7430" max="7430" width="15.85546875" customWidth="1"/>
    <col min="7431" max="7431" width="12.140625" customWidth="1"/>
    <col min="7432" max="7432" width="15.42578125" customWidth="1"/>
    <col min="7433" max="7433" width="17.140625" customWidth="1"/>
    <col min="7434" max="7434" width="12" customWidth="1"/>
    <col min="7435" max="7435" width="18.140625" customWidth="1"/>
    <col min="7436" max="7436" width="15.42578125" customWidth="1"/>
    <col min="7437" max="7437" width="10.42578125" customWidth="1"/>
    <col min="7438" max="7438" width="11.42578125" customWidth="1"/>
    <col min="7439" max="7439" width="20.140625" customWidth="1"/>
    <col min="7440" max="7440" width="18.85546875" customWidth="1"/>
    <col min="7441" max="7441" width="8.7109375" customWidth="1"/>
    <col min="7442" max="7442" width="15.42578125" customWidth="1"/>
    <col min="7443" max="7443" width="10.7109375" customWidth="1"/>
    <col min="7444" max="7444" width="15" customWidth="1"/>
    <col min="7679" max="7679" width="72.5703125" customWidth="1"/>
    <col min="7680" max="7680" width="17.7109375" customWidth="1"/>
    <col min="7681" max="7681" width="13.5703125" customWidth="1"/>
    <col min="7682" max="7682" width="16.7109375" customWidth="1"/>
    <col min="7683" max="7683" width="16.140625" customWidth="1"/>
    <col min="7684" max="7684" width="13.5703125" customWidth="1"/>
    <col min="7685" max="7685" width="15.7109375" customWidth="1"/>
    <col min="7686" max="7686" width="15.85546875" customWidth="1"/>
    <col min="7687" max="7687" width="12.140625" customWidth="1"/>
    <col min="7688" max="7688" width="15.42578125" customWidth="1"/>
    <col min="7689" max="7689" width="17.140625" customWidth="1"/>
    <col min="7690" max="7690" width="12" customWidth="1"/>
    <col min="7691" max="7691" width="18.140625" customWidth="1"/>
    <col min="7692" max="7692" width="15.42578125" customWidth="1"/>
    <col min="7693" max="7693" width="10.42578125" customWidth="1"/>
    <col min="7694" max="7694" width="11.42578125" customWidth="1"/>
    <col min="7695" max="7695" width="20.140625" customWidth="1"/>
    <col min="7696" max="7696" width="18.85546875" customWidth="1"/>
    <col min="7697" max="7697" width="8.7109375" customWidth="1"/>
    <col min="7698" max="7698" width="15.42578125" customWidth="1"/>
    <col min="7699" max="7699" width="10.7109375" customWidth="1"/>
    <col min="7700" max="7700" width="15" customWidth="1"/>
    <col min="7935" max="7935" width="72.5703125" customWidth="1"/>
    <col min="7936" max="7936" width="17.7109375" customWidth="1"/>
    <col min="7937" max="7937" width="13.5703125" customWidth="1"/>
    <col min="7938" max="7938" width="16.7109375" customWidth="1"/>
    <col min="7939" max="7939" width="16.140625" customWidth="1"/>
    <col min="7940" max="7940" width="13.5703125" customWidth="1"/>
    <col min="7941" max="7941" width="15.7109375" customWidth="1"/>
    <col min="7942" max="7942" width="15.85546875" customWidth="1"/>
    <col min="7943" max="7943" width="12.140625" customWidth="1"/>
    <col min="7944" max="7944" width="15.42578125" customWidth="1"/>
    <col min="7945" max="7945" width="17.140625" customWidth="1"/>
    <col min="7946" max="7946" width="12" customWidth="1"/>
    <col min="7947" max="7947" width="18.140625" customWidth="1"/>
    <col min="7948" max="7948" width="15.42578125" customWidth="1"/>
    <col min="7949" max="7949" width="10.42578125" customWidth="1"/>
    <col min="7950" max="7950" width="11.42578125" customWidth="1"/>
    <col min="7951" max="7951" width="20.140625" customWidth="1"/>
    <col min="7952" max="7952" width="18.85546875" customWidth="1"/>
    <col min="7953" max="7953" width="8.7109375" customWidth="1"/>
    <col min="7954" max="7954" width="15.42578125" customWidth="1"/>
    <col min="7955" max="7955" width="10.7109375" customWidth="1"/>
    <col min="7956" max="7956" width="15" customWidth="1"/>
    <col min="8191" max="8191" width="72.5703125" customWidth="1"/>
    <col min="8192" max="8192" width="17.7109375" customWidth="1"/>
    <col min="8193" max="8193" width="13.5703125" customWidth="1"/>
    <col min="8194" max="8194" width="16.7109375" customWidth="1"/>
    <col min="8195" max="8195" width="16.140625" customWidth="1"/>
    <col min="8196" max="8196" width="13.5703125" customWidth="1"/>
    <col min="8197" max="8197" width="15.7109375" customWidth="1"/>
    <col min="8198" max="8198" width="15.85546875" customWidth="1"/>
    <col min="8199" max="8199" width="12.140625" customWidth="1"/>
    <col min="8200" max="8200" width="15.42578125" customWidth="1"/>
    <col min="8201" max="8201" width="17.140625" customWidth="1"/>
    <col min="8202" max="8202" width="12" customWidth="1"/>
    <col min="8203" max="8203" width="18.140625" customWidth="1"/>
    <col min="8204" max="8204" width="15.42578125" customWidth="1"/>
    <col min="8205" max="8205" width="10.42578125" customWidth="1"/>
    <col min="8206" max="8206" width="11.42578125" customWidth="1"/>
    <col min="8207" max="8207" width="20.140625" customWidth="1"/>
    <col min="8208" max="8208" width="18.85546875" customWidth="1"/>
    <col min="8209" max="8209" width="8.7109375" customWidth="1"/>
    <col min="8210" max="8210" width="15.42578125" customWidth="1"/>
    <col min="8211" max="8211" width="10.7109375" customWidth="1"/>
    <col min="8212" max="8212" width="15" customWidth="1"/>
    <col min="8447" max="8447" width="72.5703125" customWidth="1"/>
    <col min="8448" max="8448" width="17.7109375" customWidth="1"/>
    <col min="8449" max="8449" width="13.5703125" customWidth="1"/>
    <col min="8450" max="8450" width="16.7109375" customWidth="1"/>
    <col min="8451" max="8451" width="16.140625" customWidth="1"/>
    <col min="8452" max="8452" width="13.5703125" customWidth="1"/>
    <col min="8453" max="8453" width="15.7109375" customWidth="1"/>
    <col min="8454" max="8454" width="15.85546875" customWidth="1"/>
    <col min="8455" max="8455" width="12.140625" customWidth="1"/>
    <col min="8456" max="8456" width="15.42578125" customWidth="1"/>
    <col min="8457" max="8457" width="17.140625" customWidth="1"/>
    <col min="8458" max="8458" width="12" customWidth="1"/>
    <col min="8459" max="8459" width="18.140625" customWidth="1"/>
    <col min="8460" max="8460" width="15.42578125" customWidth="1"/>
    <col min="8461" max="8461" width="10.42578125" customWidth="1"/>
    <col min="8462" max="8462" width="11.42578125" customWidth="1"/>
    <col min="8463" max="8463" width="20.140625" customWidth="1"/>
    <col min="8464" max="8464" width="18.85546875" customWidth="1"/>
    <col min="8465" max="8465" width="8.7109375" customWidth="1"/>
    <col min="8466" max="8466" width="15.42578125" customWidth="1"/>
    <col min="8467" max="8467" width="10.7109375" customWidth="1"/>
    <col min="8468" max="8468" width="15" customWidth="1"/>
    <col min="8703" max="8703" width="72.5703125" customWidth="1"/>
    <col min="8704" max="8704" width="17.7109375" customWidth="1"/>
    <col min="8705" max="8705" width="13.5703125" customWidth="1"/>
    <col min="8706" max="8706" width="16.7109375" customWidth="1"/>
    <col min="8707" max="8707" width="16.140625" customWidth="1"/>
    <col min="8708" max="8708" width="13.5703125" customWidth="1"/>
    <col min="8709" max="8709" width="15.7109375" customWidth="1"/>
    <col min="8710" max="8710" width="15.85546875" customWidth="1"/>
    <col min="8711" max="8711" width="12.140625" customWidth="1"/>
    <col min="8712" max="8712" width="15.42578125" customWidth="1"/>
    <col min="8713" max="8713" width="17.140625" customWidth="1"/>
    <col min="8714" max="8714" width="12" customWidth="1"/>
    <col min="8715" max="8715" width="18.140625" customWidth="1"/>
    <col min="8716" max="8716" width="15.42578125" customWidth="1"/>
    <col min="8717" max="8717" width="10.42578125" customWidth="1"/>
    <col min="8718" max="8718" width="11.42578125" customWidth="1"/>
    <col min="8719" max="8719" width="20.140625" customWidth="1"/>
    <col min="8720" max="8720" width="18.85546875" customWidth="1"/>
    <col min="8721" max="8721" width="8.7109375" customWidth="1"/>
    <col min="8722" max="8722" width="15.42578125" customWidth="1"/>
    <col min="8723" max="8723" width="10.7109375" customWidth="1"/>
    <col min="8724" max="8724" width="15" customWidth="1"/>
    <col min="8959" max="8959" width="72.5703125" customWidth="1"/>
    <col min="8960" max="8960" width="17.7109375" customWidth="1"/>
    <col min="8961" max="8961" width="13.5703125" customWidth="1"/>
    <col min="8962" max="8962" width="16.7109375" customWidth="1"/>
    <col min="8963" max="8963" width="16.140625" customWidth="1"/>
    <col min="8964" max="8964" width="13.5703125" customWidth="1"/>
    <col min="8965" max="8965" width="15.7109375" customWidth="1"/>
    <col min="8966" max="8966" width="15.85546875" customWidth="1"/>
    <col min="8967" max="8967" width="12.140625" customWidth="1"/>
    <col min="8968" max="8968" width="15.42578125" customWidth="1"/>
    <col min="8969" max="8969" width="17.140625" customWidth="1"/>
    <col min="8970" max="8970" width="12" customWidth="1"/>
    <col min="8971" max="8971" width="18.140625" customWidth="1"/>
    <col min="8972" max="8972" width="15.42578125" customWidth="1"/>
    <col min="8973" max="8973" width="10.42578125" customWidth="1"/>
    <col min="8974" max="8974" width="11.42578125" customWidth="1"/>
    <col min="8975" max="8975" width="20.140625" customWidth="1"/>
    <col min="8976" max="8976" width="18.85546875" customWidth="1"/>
    <col min="8977" max="8977" width="8.7109375" customWidth="1"/>
    <col min="8978" max="8978" width="15.42578125" customWidth="1"/>
    <col min="8979" max="8979" width="10.7109375" customWidth="1"/>
    <col min="8980" max="8980" width="15" customWidth="1"/>
    <col min="9215" max="9215" width="72.5703125" customWidth="1"/>
    <col min="9216" max="9216" width="17.7109375" customWidth="1"/>
    <col min="9217" max="9217" width="13.5703125" customWidth="1"/>
    <col min="9218" max="9218" width="16.7109375" customWidth="1"/>
    <col min="9219" max="9219" width="16.140625" customWidth="1"/>
    <col min="9220" max="9220" width="13.5703125" customWidth="1"/>
    <col min="9221" max="9221" width="15.7109375" customWidth="1"/>
    <col min="9222" max="9222" width="15.85546875" customWidth="1"/>
    <col min="9223" max="9223" width="12.140625" customWidth="1"/>
    <col min="9224" max="9224" width="15.42578125" customWidth="1"/>
    <col min="9225" max="9225" width="17.140625" customWidth="1"/>
    <col min="9226" max="9226" width="12" customWidth="1"/>
    <col min="9227" max="9227" width="18.140625" customWidth="1"/>
    <col min="9228" max="9228" width="15.42578125" customWidth="1"/>
    <col min="9229" max="9229" width="10.42578125" customWidth="1"/>
    <col min="9230" max="9230" width="11.42578125" customWidth="1"/>
    <col min="9231" max="9231" width="20.140625" customWidth="1"/>
    <col min="9232" max="9232" width="18.85546875" customWidth="1"/>
    <col min="9233" max="9233" width="8.7109375" customWidth="1"/>
    <col min="9234" max="9234" width="15.42578125" customWidth="1"/>
    <col min="9235" max="9235" width="10.7109375" customWidth="1"/>
    <col min="9236" max="9236" width="15" customWidth="1"/>
    <col min="9471" max="9471" width="72.5703125" customWidth="1"/>
    <col min="9472" max="9472" width="17.7109375" customWidth="1"/>
    <col min="9473" max="9473" width="13.5703125" customWidth="1"/>
    <col min="9474" max="9474" width="16.7109375" customWidth="1"/>
    <col min="9475" max="9475" width="16.140625" customWidth="1"/>
    <col min="9476" max="9476" width="13.5703125" customWidth="1"/>
    <col min="9477" max="9477" width="15.7109375" customWidth="1"/>
    <col min="9478" max="9478" width="15.85546875" customWidth="1"/>
    <col min="9479" max="9479" width="12.140625" customWidth="1"/>
    <col min="9480" max="9480" width="15.42578125" customWidth="1"/>
    <col min="9481" max="9481" width="17.140625" customWidth="1"/>
    <col min="9482" max="9482" width="12" customWidth="1"/>
    <col min="9483" max="9483" width="18.140625" customWidth="1"/>
    <col min="9484" max="9484" width="15.42578125" customWidth="1"/>
    <col min="9485" max="9485" width="10.42578125" customWidth="1"/>
    <col min="9486" max="9486" width="11.42578125" customWidth="1"/>
    <col min="9487" max="9487" width="20.140625" customWidth="1"/>
    <col min="9488" max="9488" width="18.85546875" customWidth="1"/>
    <col min="9489" max="9489" width="8.7109375" customWidth="1"/>
    <col min="9490" max="9490" width="15.42578125" customWidth="1"/>
    <col min="9491" max="9491" width="10.7109375" customWidth="1"/>
    <col min="9492" max="9492" width="15" customWidth="1"/>
    <col min="9727" max="9727" width="72.5703125" customWidth="1"/>
    <col min="9728" max="9728" width="17.7109375" customWidth="1"/>
    <col min="9729" max="9729" width="13.5703125" customWidth="1"/>
    <col min="9730" max="9730" width="16.7109375" customWidth="1"/>
    <col min="9731" max="9731" width="16.140625" customWidth="1"/>
    <col min="9732" max="9732" width="13.5703125" customWidth="1"/>
    <col min="9733" max="9733" width="15.7109375" customWidth="1"/>
    <col min="9734" max="9734" width="15.85546875" customWidth="1"/>
    <col min="9735" max="9735" width="12.140625" customWidth="1"/>
    <col min="9736" max="9736" width="15.42578125" customWidth="1"/>
    <col min="9737" max="9737" width="17.140625" customWidth="1"/>
    <col min="9738" max="9738" width="12" customWidth="1"/>
    <col min="9739" max="9739" width="18.140625" customWidth="1"/>
    <col min="9740" max="9740" width="15.42578125" customWidth="1"/>
    <col min="9741" max="9741" width="10.42578125" customWidth="1"/>
    <col min="9742" max="9742" width="11.42578125" customWidth="1"/>
    <col min="9743" max="9743" width="20.140625" customWidth="1"/>
    <col min="9744" max="9744" width="18.85546875" customWidth="1"/>
    <col min="9745" max="9745" width="8.7109375" customWidth="1"/>
    <col min="9746" max="9746" width="15.42578125" customWidth="1"/>
    <col min="9747" max="9747" width="10.7109375" customWidth="1"/>
    <col min="9748" max="9748" width="15" customWidth="1"/>
    <col min="9983" max="9983" width="72.5703125" customWidth="1"/>
    <col min="9984" max="9984" width="17.7109375" customWidth="1"/>
    <col min="9985" max="9985" width="13.5703125" customWidth="1"/>
    <col min="9986" max="9986" width="16.7109375" customWidth="1"/>
    <col min="9987" max="9987" width="16.140625" customWidth="1"/>
    <col min="9988" max="9988" width="13.5703125" customWidth="1"/>
    <col min="9989" max="9989" width="15.7109375" customWidth="1"/>
    <col min="9990" max="9990" width="15.85546875" customWidth="1"/>
    <col min="9991" max="9991" width="12.140625" customWidth="1"/>
    <col min="9992" max="9992" width="15.42578125" customWidth="1"/>
    <col min="9993" max="9993" width="17.140625" customWidth="1"/>
    <col min="9994" max="9994" width="12" customWidth="1"/>
    <col min="9995" max="9995" width="18.140625" customWidth="1"/>
    <col min="9996" max="9996" width="15.42578125" customWidth="1"/>
    <col min="9997" max="9997" width="10.42578125" customWidth="1"/>
    <col min="9998" max="9998" width="11.42578125" customWidth="1"/>
    <col min="9999" max="9999" width="20.140625" customWidth="1"/>
    <col min="10000" max="10000" width="18.85546875" customWidth="1"/>
    <col min="10001" max="10001" width="8.7109375" customWidth="1"/>
    <col min="10002" max="10002" width="15.42578125" customWidth="1"/>
    <col min="10003" max="10003" width="10.7109375" customWidth="1"/>
    <col min="10004" max="10004" width="15" customWidth="1"/>
    <col min="10239" max="10239" width="72.5703125" customWidth="1"/>
    <col min="10240" max="10240" width="17.7109375" customWidth="1"/>
    <col min="10241" max="10241" width="13.5703125" customWidth="1"/>
    <col min="10242" max="10242" width="16.7109375" customWidth="1"/>
    <col min="10243" max="10243" width="16.140625" customWidth="1"/>
    <col min="10244" max="10244" width="13.5703125" customWidth="1"/>
    <col min="10245" max="10245" width="15.7109375" customWidth="1"/>
    <col min="10246" max="10246" width="15.85546875" customWidth="1"/>
    <col min="10247" max="10247" width="12.140625" customWidth="1"/>
    <col min="10248" max="10248" width="15.42578125" customWidth="1"/>
    <col min="10249" max="10249" width="17.140625" customWidth="1"/>
    <col min="10250" max="10250" width="12" customWidth="1"/>
    <col min="10251" max="10251" width="18.140625" customWidth="1"/>
    <col min="10252" max="10252" width="15.42578125" customWidth="1"/>
    <col min="10253" max="10253" width="10.42578125" customWidth="1"/>
    <col min="10254" max="10254" width="11.42578125" customWidth="1"/>
    <col min="10255" max="10255" width="20.140625" customWidth="1"/>
    <col min="10256" max="10256" width="18.85546875" customWidth="1"/>
    <col min="10257" max="10257" width="8.7109375" customWidth="1"/>
    <col min="10258" max="10258" width="15.42578125" customWidth="1"/>
    <col min="10259" max="10259" width="10.7109375" customWidth="1"/>
    <col min="10260" max="10260" width="15" customWidth="1"/>
    <col min="10495" max="10495" width="72.5703125" customWidth="1"/>
    <col min="10496" max="10496" width="17.7109375" customWidth="1"/>
    <col min="10497" max="10497" width="13.5703125" customWidth="1"/>
    <col min="10498" max="10498" width="16.7109375" customWidth="1"/>
    <col min="10499" max="10499" width="16.140625" customWidth="1"/>
    <col min="10500" max="10500" width="13.5703125" customWidth="1"/>
    <col min="10501" max="10501" width="15.7109375" customWidth="1"/>
    <col min="10502" max="10502" width="15.85546875" customWidth="1"/>
    <col min="10503" max="10503" width="12.140625" customWidth="1"/>
    <col min="10504" max="10504" width="15.42578125" customWidth="1"/>
    <col min="10505" max="10505" width="17.140625" customWidth="1"/>
    <col min="10506" max="10506" width="12" customWidth="1"/>
    <col min="10507" max="10507" width="18.140625" customWidth="1"/>
    <col min="10508" max="10508" width="15.42578125" customWidth="1"/>
    <col min="10509" max="10509" width="10.42578125" customWidth="1"/>
    <col min="10510" max="10510" width="11.42578125" customWidth="1"/>
    <col min="10511" max="10511" width="20.140625" customWidth="1"/>
    <col min="10512" max="10512" width="18.85546875" customWidth="1"/>
    <col min="10513" max="10513" width="8.7109375" customWidth="1"/>
    <col min="10514" max="10514" width="15.42578125" customWidth="1"/>
    <col min="10515" max="10515" width="10.7109375" customWidth="1"/>
    <col min="10516" max="10516" width="15" customWidth="1"/>
    <col min="10751" max="10751" width="72.5703125" customWidth="1"/>
    <col min="10752" max="10752" width="17.7109375" customWidth="1"/>
    <col min="10753" max="10753" width="13.5703125" customWidth="1"/>
    <col min="10754" max="10754" width="16.7109375" customWidth="1"/>
    <col min="10755" max="10755" width="16.140625" customWidth="1"/>
    <col min="10756" max="10756" width="13.5703125" customWidth="1"/>
    <col min="10757" max="10757" width="15.7109375" customWidth="1"/>
    <col min="10758" max="10758" width="15.85546875" customWidth="1"/>
    <col min="10759" max="10759" width="12.140625" customWidth="1"/>
    <col min="10760" max="10760" width="15.42578125" customWidth="1"/>
    <col min="10761" max="10761" width="17.140625" customWidth="1"/>
    <col min="10762" max="10762" width="12" customWidth="1"/>
    <col min="10763" max="10763" width="18.140625" customWidth="1"/>
    <col min="10764" max="10764" width="15.42578125" customWidth="1"/>
    <col min="10765" max="10765" width="10.42578125" customWidth="1"/>
    <col min="10766" max="10766" width="11.42578125" customWidth="1"/>
    <col min="10767" max="10767" width="20.140625" customWidth="1"/>
    <col min="10768" max="10768" width="18.85546875" customWidth="1"/>
    <col min="10769" max="10769" width="8.7109375" customWidth="1"/>
    <col min="10770" max="10770" width="15.42578125" customWidth="1"/>
    <col min="10771" max="10771" width="10.7109375" customWidth="1"/>
    <col min="10772" max="10772" width="15" customWidth="1"/>
    <col min="11007" max="11007" width="72.5703125" customWidth="1"/>
    <col min="11008" max="11008" width="17.7109375" customWidth="1"/>
    <col min="11009" max="11009" width="13.5703125" customWidth="1"/>
    <col min="11010" max="11010" width="16.7109375" customWidth="1"/>
    <col min="11011" max="11011" width="16.140625" customWidth="1"/>
    <col min="11012" max="11012" width="13.5703125" customWidth="1"/>
    <col min="11013" max="11013" width="15.7109375" customWidth="1"/>
    <col min="11014" max="11014" width="15.85546875" customWidth="1"/>
    <col min="11015" max="11015" width="12.140625" customWidth="1"/>
    <col min="11016" max="11016" width="15.42578125" customWidth="1"/>
    <col min="11017" max="11017" width="17.140625" customWidth="1"/>
    <col min="11018" max="11018" width="12" customWidth="1"/>
    <col min="11019" max="11019" width="18.140625" customWidth="1"/>
    <col min="11020" max="11020" width="15.42578125" customWidth="1"/>
    <col min="11021" max="11021" width="10.42578125" customWidth="1"/>
    <col min="11022" max="11022" width="11.42578125" customWidth="1"/>
    <col min="11023" max="11023" width="20.140625" customWidth="1"/>
    <col min="11024" max="11024" width="18.85546875" customWidth="1"/>
    <col min="11025" max="11025" width="8.7109375" customWidth="1"/>
    <col min="11026" max="11026" width="15.42578125" customWidth="1"/>
    <col min="11027" max="11027" width="10.7109375" customWidth="1"/>
    <col min="11028" max="11028" width="15" customWidth="1"/>
    <col min="11263" max="11263" width="72.5703125" customWidth="1"/>
    <col min="11264" max="11264" width="17.7109375" customWidth="1"/>
    <col min="11265" max="11265" width="13.5703125" customWidth="1"/>
    <col min="11266" max="11266" width="16.7109375" customWidth="1"/>
    <col min="11267" max="11267" width="16.140625" customWidth="1"/>
    <col min="11268" max="11268" width="13.5703125" customWidth="1"/>
    <col min="11269" max="11269" width="15.7109375" customWidth="1"/>
    <col min="11270" max="11270" width="15.85546875" customWidth="1"/>
    <col min="11271" max="11271" width="12.140625" customWidth="1"/>
    <col min="11272" max="11272" width="15.42578125" customWidth="1"/>
    <col min="11273" max="11273" width="17.140625" customWidth="1"/>
    <col min="11274" max="11274" width="12" customWidth="1"/>
    <col min="11275" max="11275" width="18.140625" customWidth="1"/>
    <col min="11276" max="11276" width="15.42578125" customWidth="1"/>
    <col min="11277" max="11277" width="10.42578125" customWidth="1"/>
    <col min="11278" max="11278" width="11.42578125" customWidth="1"/>
    <col min="11279" max="11279" width="20.140625" customWidth="1"/>
    <col min="11280" max="11280" width="18.85546875" customWidth="1"/>
    <col min="11281" max="11281" width="8.7109375" customWidth="1"/>
    <col min="11282" max="11282" width="15.42578125" customWidth="1"/>
    <col min="11283" max="11283" width="10.7109375" customWidth="1"/>
    <col min="11284" max="11284" width="15" customWidth="1"/>
    <col min="11519" max="11519" width="72.5703125" customWidth="1"/>
    <col min="11520" max="11520" width="17.7109375" customWidth="1"/>
    <col min="11521" max="11521" width="13.5703125" customWidth="1"/>
    <col min="11522" max="11522" width="16.7109375" customWidth="1"/>
    <col min="11523" max="11523" width="16.140625" customWidth="1"/>
    <col min="11524" max="11524" width="13.5703125" customWidth="1"/>
    <col min="11525" max="11525" width="15.7109375" customWidth="1"/>
    <col min="11526" max="11526" width="15.85546875" customWidth="1"/>
    <col min="11527" max="11527" width="12.140625" customWidth="1"/>
    <col min="11528" max="11528" width="15.42578125" customWidth="1"/>
    <col min="11529" max="11529" width="17.140625" customWidth="1"/>
    <col min="11530" max="11530" width="12" customWidth="1"/>
    <col min="11531" max="11531" width="18.140625" customWidth="1"/>
    <col min="11532" max="11532" width="15.42578125" customWidth="1"/>
    <col min="11533" max="11533" width="10.42578125" customWidth="1"/>
    <col min="11534" max="11534" width="11.42578125" customWidth="1"/>
    <col min="11535" max="11535" width="20.140625" customWidth="1"/>
    <col min="11536" max="11536" width="18.85546875" customWidth="1"/>
    <col min="11537" max="11537" width="8.7109375" customWidth="1"/>
    <col min="11538" max="11538" width="15.42578125" customWidth="1"/>
    <col min="11539" max="11539" width="10.7109375" customWidth="1"/>
    <col min="11540" max="11540" width="15" customWidth="1"/>
    <col min="11775" max="11775" width="72.5703125" customWidth="1"/>
    <col min="11776" max="11776" width="17.7109375" customWidth="1"/>
    <col min="11777" max="11777" width="13.5703125" customWidth="1"/>
    <col min="11778" max="11778" width="16.7109375" customWidth="1"/>
    <col min="11779" max="11779" width="16.140625" customWidth="1"/>
    <col min="11780" max="11780" width="13.5703125" customWidth="1"/>
    <col min="11781" max="11781" width="15.7109375" customWidth="1"/>
    <col min="11782" max="11782" width="15.85546875" customWidth="1"/>
    <col min="11783" max="11783" width="12.140625" customWidth="1"/>
    <col min="11784" max="11784" width="15.42578125" customWidth="1"/>
    <col min="11785" max="11785" width="17.140625" customWidth="1"/>
    <col min="11786" max="11786" width="12" customWidth="1"/>
    <col min="11787" max="11787" width="18.140625" customWidth="1"/>
    <col min="11788" max="11788" width="15.42578125" customWidth="1"/>
    <col min="11789" max="11789" width="10.42578125" customWidth="1"/>
    <col min="11790" max="11790" width="11.42578125" customWidth="1"/>
    <col min="11791" max="11791" width="20.140625" customWidth="1"/>
    <col min="11792" max="11792" width="18.85546875" customWidth="1"/>
    <col min="11793" max="11793" width="8.7109375" customWidth="1"/>
    <col min="11794" max="11794" width="15.42578125" customWidth="1"/>
    <col min="11795" max="11795" width="10.7109375" customWidth="1"/>
    <col min="11796" max="11796" width="15" customWidth="1"/>
    <col min="12031" max="12031" width="72.5703125" customWidth="1"/>
    <col min="12032" max="12032" width="17.7109375" customWidth="1"/>
    <col min="12033" max="12033" width="13.5703125" customWidth="1"/>
    <col min="12034" max="12034" width="16.7109375" customWidth="1"/>
    <col min="12035" max="12035" width="16.140625" customWidth="1"/>
    <col min="12036" max="12036" width="13.5703125" customWidth="1"/>
    <col min="12037" max="12037" width="15.7109375" customWidth="1"/>
    <col min="12038" max="12038" width="15.85546875" customWidth="1"/>
    <col min="12039" max="12039" width="12.140625" customWidth="1"/>
    <col min="12040" max="12040" width="15.42578125" customWidth="1"/>
    <col min="12041" max="12041" width="17.140625" customWidth="1"/>
    <col min="12042" max="12042" width="12" customWidth="1"/>
    <col min="12043" max="12043" width="18.140625" customWidth="1"/>
    <col min="12044" max="12044" width="15.42578125" customWidth="1"/>
    <col min="12045" max="12045" width="10.42578125" customWidth="1"/>
    <col min="12046" max="12046" width="11.42578125" customWidth="1"/>
    <col min="12047" max="12047" width="20.140625" customWidth="1"/>
    <col min="12048" max="12048" width="18.85546875" customWidth="1"/>
    <col min="12049" max="12049" width="8.7109375" customWidth="1"/>
    <col min="12050" max="12050" width="15.42578125" customWidth="1"/>
    <col min="12051" max="12051" width="10.7109375" customWidth="1"/>
    <col min="12052" max="12052" width="15" customWidth="1"/>
    <col min="12287" max="12287" width="72.5703125" customWidth="1"/>
    <col min="12288" max="12288" width="17.7109375" customWidth="1"/>
    <col min="12289" max="12289" width="13.5703125" customWidth="1"/>
    <col min="12290" max="12290" width="16.7109375" customWidth="1"/>
    <col min="12291" max="12291" width="16.140625" customWidth="1"/>
    <col min="12292" max="12292" width="13.5703125" customWidth="1"/>
    <col min="12293" max="12293" width="15.7109375" customWidth="1"/>
    <col min="12294" max="12294" width="15.85546875" customWidth="1"/>
    <col min="12295" max="12295" width="12.140625" customWidth="1"/>
    <col min="12296" max="12296" width="15.42578125" customWidth="1"/>
    <col min="12297" max="12297" width="17.140625" customWidth="1"/>
    <col min="12298" max="12298" width="12" customWidth="1"/>
    <col min="12299" max="12299" width="18.140625" customWidth="1"/>
    <col min="12300" max="12300" width="15.42578125" customWidth="1"/>
    <col min="12301" max="12301" width="10.42578125" customWidth="1"/>
    <col min="12302" max="12302" width="11.42578125" customWidth="1"/>
    <col min="12303" max="12303" width="20.140625" customWidth="1"/>
    <col min="12304" max="12304" width="18.85546875" customWidth="1"/>
    <col min="12305" max="12305" width="8.7109375" customWidth="1"/>
    <col min="12306" max="12306" width="15.42578125" customWidth="1"/>
    <col min="12307" max="12307" width="10.7109375" customWidth="1"/>
    <col min="12308" max="12308" width="15" customWidth="1"/>
    <col min="12543" max="12543" width="72.5703125" customWidth="1"/>
    <col min="12544" max="12544" width="17.7109375" customWidth="1"/>
    <col min="12545" max="12545" width="13.5703125" customWidth="1"/>
    <col min="12546" max="12546" width="16.7109375" customWidth="1"/>
    <col min="12547" max="12547" width="16.140625" customWidth="1"/>
    <col min="12548" max="12548" width="13.5703125" customWidth="1"/>
    <col min="12549" max="12549" width="15.7109375" customWidth="1"/>
    <col min="12550" max="12550" width="15.85546875" customWidth="1"/>
    <col min="12551" max="12551" width="12.140625" customWidth="1"/>
    <col min="12552" max="12552" width="15.42578125" customWidth="1"/>
    <col min="12553" max="12553" width="17.140625" customWidth="1"/>
    <col min="12554" max="12554" width="12" customWidth="1"/>
    <col min="12555" max="12555" width="18.140625" customWidth="1"/>
    <col min="12556" max="12556" width="15.42578125" customWidth="1"/>
    <col min="12557" max="12557" width="10.42578125" customWidth="1"/>
    <col min="12558" max="12558" width="11.42578125" customWidth="1"/>
    <col min="12559" max="12559" width="20.140625" customWidth="1"/>
    <col min="12560" max="12560" width="18.85546875" customWidth="1"/>
    <col min="12561" max="12561" width="8.7109375" customWidth="1"/>
    <col min="12562" max="12562" width="15.42578125" customWidth="1"/>
    <col min="12563" max="12563" width="10.7109375" customWidth="1"/>
    <col min="12564" max="12564" width="15" customWidth="1"/>
    <col min="12799" max="12799" width="72.5703125" customWidth="1"/>
    <col min="12800" max="12800" width="17.7109375" customWidth="1"/>
    <col min="12801" max="12801" width="13.5703125" customWidth="1"/>
    <col min="12802" max="12802" width="16.7109375" customWidth="1"/>
    <col min="12803" max="12803" width="16.140625" customWidth="1"/>
    <col min="12804" max="12804" width="13.5703125" customWidth="1"/>
    <col min="12805" max="12805" width="15.7109375" customWidth="1"/>
    <col min="12806" max="12806" width="15.85546875" customWidth="1"/>
    <col min="12807" max="12807" width="12.140625" customWidth="1"/>
    <col min="12808" max="12808" width="15.42578125" customWidth="1"/>
    <col min="12809" max="12809" width="17.140625" customWidth="1"/>
    <col min="12810" max="12810" width="12" customWidth="1"/>
    <col min="12811" max="12811" width="18.140625" customWidth="1"/>
    <col min="12812" max="12812" width="15.42578125" customWidth="1"/>
    <col min="12813" max="12813" width="10.42578125" customWidth="1"/>
    <col min="12814" max="12814" width="11.42578125" customWidth="1"/>
    <col min="12815" max="12815" width="20.140625" customWidth="1"/>
    <col min="12816" max="12816" width="18.85546875" customWidth="1"/>
    <col min="12817" max="12817" width="8.7109375" customWidth="1"/>
    <col min="12818" max="12818" width="15.42578125" customWidth="1"/>
    <col min="12819" max="12819" width="10.7109375" customWidth="1"/>
    <col min="12820" max="12820" width="15" customWidth="1"/>
    <col min="13055" max="13055" width="72.5703125" customWidth="1"/>
    <col min="13056" max="13056" width="17.7109375" customWidth="1"/>
    <col min="13057" max="13057" width="13.5703125" customWidth="1"/>
    <col min="13058" max="13058" width="16.7109375" customWidth="1"/>
    <col min="13059" max="13059" width="16.140625" customWidth="1"/>
    <col min="13060" max="13060" width="13.5703125" customWidth="1"/>
    <col min="13061" max="13061" width="15.7109375" customWidth="1"/>
    <col min="13062" max="13062" width="15.85546875" customWidth="1"/>
    <col min="13063" max="13063" width="12.140625" customWidth="1"/>
    <col min="13064" max="13064" width="15.42578125" customWidth="1"/>
    <col min="13065" max="13065" width="17.140625" customWidth="1"/>
    <col min="13066" max="13066" width="12" customWidth="1"/>
    <col min="13067" max="13067" width="18.140625" customWidth="1"/>
    <col min="13068" max="13068" width="15.42578125" customWidth="1"/>
    <col min="13069" max="13069" width="10.42578125" customWidth="1"/>
    <col min="13070" max="13070" width="11.42578125" customWidth="1"/>
    <col min="13071" max="13071" width="20.140625" customWidth="1"/>
    <col min="13072" max="13072" width="18.85546875" customWidth="1"/>
    <col min="13073" max="13073" width="8.7109375" customWidth="1"/>
    <col min="13074" max="13074" width="15.42578125" customWidth="1"/>
    <col min="13075" max="13075" width="10.7109375" customWidth="1"/>
    <col min="13076" max="13076" width="15" customWidth="1"/>
    <col min="13311" max="13311" width="72.5703125" customWidth="1"/>
    <col min="13312" max="13312" width="17.7109375" customWidth="1"/>
    <col min="13313" max="13313" width="13.5703125" customWidth="1"/>
    <col min="13314" max="13314" width="16.7109375" customWidth="1"/>
    <col min="13315" max="13315" width="16.140625" customWidth="1"/>
    <col min="13316" max="13316" width="13.5703125" customWidth="1"/>
    <col min="13317" max="13317" width="15.7109375" customWidth="1"/>
    <col min="13318" max="13318" width="15.85546875" customWidth="1"/>
    <col min="13319" max="13319" width="12.140625" customWidth="1"/>
    <col min="13320" max="13320" width="15.42578125" customWidth="1"/>
    <col min="13321" max="13321" width="17.140625" customWidth="1"/>
    <col min="13322" max="13322" width="12" customWidth="1"/>
    <col min="13323" max="13323" width="18.140625" customWidth="1"/>
    <col min="13324" max="13324" width="15.42578125" customWidth="1"/>
    <col min="13325" max="13325" width="10.42578125" customWidth="1"/>
    <col min="13326" max="13326" width="11.42578125" customWidth="1"/>
    <col min="13327" max="13327" width="20.140625" customWidth="1"/>
    <col min="13328" max="13328" width="18.85546875" customWidth="1"/>
    <col min="13329" max="13329" width="8.7109375" customWidth="1"/>
    <col min="13330" max="13330" width="15.42578125" customWidth="1"/>
    <col min="13331" max="13331" width="10.7109375" customWidth="1"/>
    <col min="13332" max="13332" width="15" customWidth="1"/>
    <col min="13567" max="13567" width="72.5703125" customWidth="1"/>
    <col min="13568" max="13568" width="17.7109375" customWidth="1"/>
    <col min="13569" max="13569" width="13.5703125" customWidth="1"/>
    <col min="13570" max="13570" width="16.7109375" customWidth="1"/>
    <col min="13571" max="13571" width="16.140625" customWidth="1"/>
    <col min="13572" max="13572" width="13.5703125" customWidth="1"/>
    <col min="13573" max="13573" width="15.7109375" customWidth="1"/>
    <col min="13574" max="13574" width="15.85546875" customWidth="1"/>
    <col min="13575" max="13575" width="12.140625" customWidth="1"/>
    <col min="13576" max="13576" width="15.42578125" customWidth="1"/>
    <col min="13577" max="13577" width="17.140625" customWidth="1"/>
    <col min="13578" max="13578" width="12" customWidth="1"/>
    <col min="13579" max="13579" width="18.140625" customWidth="1"/>
    <col min="13580" max="13580" width="15.42578125" customWidth="1"/>
    <col min="13581" max="13581" width="10.42578125" customWidth="1"/>
    <col min="13582" max="13582" width="11.42578125" customWidth="1"/>
    <col min="13583" max="13583" width="20.140625" customWidth="1"/>
    <col min="13584" max="13584" width="18.85546875" customWidth="1"/>
    <col min="13585" max="13585" width="8.7109375" customWidth="1"/>
    <col min="13586" max="13586" width="15.42578125" customWidth="1"/>
    <col min="13587" max="13587" width="10.7109375" customWidth="1"/>
    <col min="13588" max="13588" width="15" customWidth="1"/>
    <col min="13823" max="13823" width="72.5703125" customWidth="1"/>
    <col min="13824" max="13824" width="17.7109375" customWidth="1"/>
    <col min="13825" max="13825" width="13.5703125" customWidth="1"/>
    <col min="13826" max="13826" width="16.7109375" customWidth="1"/>
    <col min="13827" max="13827" width="16.140625" customWidth="1"/>
    <col min="13828" max="13828" width="13.5703125" customWidth="1"/>
    <col min="13829" max="13829" width="15.7109375" customWidth="1"/>
    <col min="13830" max="13830" width="15.85546875" customWidth="1"/>
    <col min="13831" max="13831" width="12.140625" customWidth="1"/>
    <col min="13832" max="13832" width="15.42578125" customWidth="1"/>
    <col min="13833" max="13833" width="17.140625" customWidth="1"/>
    <col min="13834" max="13834" width="12" customWidth="1"/>
    <col min="13835" max="13835" width="18.140625" customWidth="1"/>
    <col min="13836" max="13836" width="15.42578125" customWidth="1"/>
    <col min="13837" max="13837" width="10.42578125" customWidth="1"/>
    <col min="13838" max="13838" width="11.42578125" customWidth="1"/>
    <col min="13839" max="13839" width="20.140625" customWidth="1"/>
    <col min="13840" max="13840" width="18.85546875" customWidth="1"/>
    <col min="13841" max="13841" width="8.7109375" customWidth="1"/>
    <col min="13842" max="13842" width="15.42578125" customWidth="1"/>
    <col min="13843" max="13843" width="10.7109375" customWidth="1"/>
    <col min="13844" max="13844" width="15" customWidth="1"/>
    <col min="14079" max="14079" width="72.5703125" customWidth="1"/>
    <col min="14080" max="14080" width="17.7109375" customWidth="1"/>
    <col min="14081" max="14081" width="13.5703125" customWidth="1"/>
    <col min="14082" max="14082" width="16.7109375" customWidth="1"/>
    <col min="14083" max="14083" width="16.140625" customWidth="1"/>
    <col min="14084" max="14084" width="13.5703125" customWidth="1"/>
    <col min="14085" max="14085" width="15.7109375" customWidth="1"/>
    <col min="14086" max="14086" width="15.85546875" customWidth="1"/>
    <col min="14087" max="14087" width="12.140625" customWidth="1"/>
    <col min="14088" max="14088" width="15.42578125" customWidth="1"/>
    <col min="14089" max="14089" width="17.140625" customWidth="1"/>
    <col min="14090" max="14090" width="12" customWidth="1"/>
    <col min="14091" max="14091" width="18.140625" customWidth="1"/>
    <col min="14092" max="14092" width="15.42578125" customWidth="1"/>
    <col min="14093" max="14093" width="10.42578125" customWidth="1"/>
    <col min="14094" max="14094" width="11.42578125" customWidth="1"/>
    <col min="14095" max="14095" width="20.140625" customWidth="1"/>
    <col min="14096" max="14096" width="18.85546875" customWidth="1"/>
    <col min="14097" max="14097" width="8.7109375" customWidth="1"/>
    <col min="14098" max="14098" width="15.42578125" customWidth="1"/>
    <col min="14099" max="14099" width="10.7109375" customWidth="1"/>
    <col min="14100" max="14100" width="15" customWidth="1"/>
    <col min="14335" max="14335" width="72.5703125" customWidth="1"/>
    <col min="14336" max="14336" width="17.7109375" customWidth="1"/>
    <col min="14337" max="14337" width="13.5703125" customWidth="1"/>
    <col min="14338" max="14338" width="16.7109375" customWidth="1"/>
    <col min="14339" max="14339" width="16.140625" customWidth="1"/>
    <col min="14340" max="14340" width="13.5703125" customWidth="1"/>
    <col min="14341" max="14341" width="15.7109375" customWidth="1"/>
    <col min="14342" max="14342" width="15.85546875" customWidth="1"/>
    <col min="14343" max="14343" width="12.140625" customWidth="1"/>
    <col min="14344" max="14344" width="15.42578125" customWidth="1"/>
    <col min="14345" max="14345" width="17.140625" customWidth="1"/>
    <col min="14346" max="14346" width="12" customWidth="1"/>
    <col min="14347" max="14347" width="18.140625" customWidth="1"/>
    <col min="14348" max="14348" width="15.42578125" customWidth="1"/>
    <col min="14349" max="14349" width="10.42578125" customWidth="1"/>
    <col min="14350" max="14350" width="11.42578125" customWidth="1"/>
    <col min="14351" max="14351" width="20.140625" customWidth="1"/>
    <col min="14352" max="14352" width="18.85546875" customWidth="1"/>
    <col min="14353" max="14353" width="8.7109375" customWidth="1"/>
    <col min="14354" max="14354" width="15.42578125" customWidth="1"/>
    <col min="14355" max="14355" width="10.7109375" customWidth="1"/>
    <col min="14356" max="14356" width="15" customWidth="1"/>
    <col min="14591" max="14591" width="72.5703125" customWidth="1"/>
    <col min="14592" max="14592" width="17.7109375" customWidth="1"/>
    <col min="14593" max="14593" width="13.5703125" customWidth="1"/>
    <col min="14594" max="14594" width="16.7109375" customWidth="1"/>
    <col min="14595" max="14595" width="16.140625" customWidth="1"/>
    <col min="14596" max="14596" width="13.5703125" customWidth="1"/>
    <col min="14597" max="14597" width="15.7109375" customWidth="1"/>
    <col min="14598" max="14598" width="15.85546875" customWidth="1"/>
    <col min="14599" max="14599" width="12.140625" customWidth="1"/>
    <col min="14600" max="14600" width="15.42578125" customWidth="1"/>
    <col min="14601" max="14601" width="17.140625" customWidth="1"/>
    <col min="14602" max="14602" width="12" customWidth="1"/>
    <col min="14603" max="14603" width="18.140625" customWidth="1"/>
    <col min="14604" max="14604" width="15.42578125" customWidth="1"/>
    <col min="14605" max="14605" width="10.42578125" customWidth="1"/>
    <col min="14606" max="14606" width="11.42578125" customWidth="1"/>
    <col min="14607" max="14607" width="20.140625" customWidth="1"/>
    <col min="14608" max="14608" width="18.85546875" customWidth="1"/>
    <col min="14609" max="14609" width="8.7109375" customWidth="1"/>
    <col min="14610" max="14610" width="15.42578125" customWidth="1"/>
    <col min="14611" max="14611" width="10.7109375" customWidth="1"/>
    <col min="14612" max="14612" width="15" customWidth="1"/>
    <col min="14847" max="14847" width="72.5703125" customWidth="1"/>
    <col min="14848" max="14848" width="17.7109375" customWidth="1"/>
    <col min="14849" max="14849" width="13.5703125" customWidth="1"/>
    <col min="14850" max="14850" width="16.7109375" customWidth="1"/>
    <col min="14851" max="14851" width="16.140625" customWidth="1"/>
    <col min="14852" max="14852" width="13.5703125" customWidth="1"/>
    <col min="14853" max="14853" width="15.7109375" customWidth="1"/>
    <col min="14854" max="14854" width="15.85546875" customWidth="1"/>
    <col min="14855" max="14855" width="12.140625" customWidth="1"/>
    <col min="14856" max="14856" width="15.42578125" customWidth="1"/>
    <col min="14857" max="14857" width="17.140625" customWidth="1"/>
    <col min="14858" max="14858" width="12" customWidth="1"/>
    <col min="14859" max="14859" width="18.140625" customWidth="1"/>
    <col min="14860" max="14860" width="15.42578125" customWidth="1"/>
    <col min="14861" max="14861" width="10.42578125" customWidth="1"/>
    <col min="14862" max="14862" width="11.42578125" customWidth="1"/>
    <col min="14863" max="14863" width="20.140625" customWidth="1"/>
    <col min="14864" max="14864" width="18.85546875" customWidth="1"/>
    <col min="14865" max="14865" width="8.7109375" customWidth="1"/>
    <col min="14866" max="14866" width="15.42578125" customWidth="1"/>
    <col min="14867" max="14867" width="10.7109375" customWidth="1"/>
    <col min="14868" max="14868" width="15" customWidth="1"/>
    <col min="15103" max="15103" width="72.5703125" customWidth="1"/>
    <col min="15104" max="15104" width="17.7109375" customWidth="1"/>
    <col min="15105" max="15105" width="13.5703125" customWidth="1"/>
    <col min="15106" max="15106" width="16.7109375" customWidth="1"/>
    <col min="15107" max="15107" width="16.140625" customWidth="1"/>
    <col min="15108" max="15108" width="13.5703125" customWidth="1"/>
    <col min="15109" max="15109" width="15.7109375" customWidth="1"/>
    <col min="15110" max="15110" width="15.85546875" customWidth="1"/>
    <col min="15111" max="15111" width="12.140625" customWidth="1"/>
    <col min="15112" max="15112" width="15.42578125" customWidth="1"/>
    <col min="15113" max="15113" width="17.140625" customWidth="1"/>
    <col min="15114" max="15114" width="12" customWidth="1"/>
    <col min="15115" max="15115" width="18.140625" customWidth="1"/>
    <col min="15116" max="15116" width="15.42578125" customWidth="1"/>
    <col min="15117" max="15117" width="10.42578125" customWidth="1"/>
    <col min="15118" max="15118" width="11.42578125" customWidth="1"/>
    <col min="15119" max="15119" width="20.140625" customWidth="1"/>
    <col min="15120" max="15120" width="18.85546875" customWidth="1"/>
    <col min="15121" max="15121" width="8.7109375" customWidth="1"/>
    <col min="15122" max="15122" width="15.42578125" customWidth="1"/>
    <col min="15123" max="15123" width="10.7109375" customWidth="1"/>
    <col min="15124" max="15124" width="15" customWidth="1"/>
    <col min="15359" max="15359" width="72.5703125" customWidth="1"/>
    <col min="15360" max="15360" width="17.7109375" customWidth="1"/>
    <col min="15361" max="15361" width="13.5703125" customWidth="1"/>
    <col min="15362" max="15362" width="16.7109375" customWidth="1"/>
    <col min="15363" max="15363" width="16.140625" customWidth="1"/>
    <col min="15364" max="15364" width="13.5703125" customWidth="1"/>
    <col min="15365" max="15365" width="15.7109375" customWidth="1"/>
    <col min="15366" max="15366" width="15.85546875" customWidth="1"/>
    <col min="15367" max="15367" width="12.140625" customWidth="1"/>
    <col min="15368" max="15368" width="15.42578125" customWidth="1"/>
    <col min="15369" max="15369" width="17.140625" customWidth="1"/>
    <col min="15370" max="15370" width="12" customWidth="1"/>
    <col min="15371" max="15371" width="18.140625" customWidth="1"/>
    <col min="15372" max="15372" width="15.42578125" customWidth="1"/>
    <col min="15373" max="15373" width="10.42578125" customWidth="1"/>
    <col min="15374" max="15374" width="11.42578125" customWidth="1"/>
    <col min="15375" max="15375" width="20.140625" customWidth="1"/>
    <col min="15376" max="15376" width="18.85546875" customWidth="1"/>
    <col min="15377" max="15377" width="8.7109375" customWidth="1"/>
    <col min="15378" max="15378" width="15.42578125" customWidth="1"/>
    <col min="15379" max="15379" width="10.7109375" customWidth="1"/>
    <col min="15380" max="15380" width="15" customWidth="1"/>
    <col min="15615" max="15615" width="72.5703125" customWidth="1"/>
    <col min="15616" max="15616" width="17.7109375" customWidth="1"/>
    <col min="15617" max="15617" width="13.5703125" customWidth="1"/>
    <col min="15618" max="15618" width="16.7109375" customWidth="1"/>
    <col min="15619" max="15619" width="16.140625" customWidth="1"/>
    <col min="15620" max="15620" width="13.5703125" customWidth="1"/>
    <col min="15621" max="15621" width="15.7109375" customWidth="1"/>
    <col min="15622" max="15622" width="15.85546875" customWidth="1"/>
    <col min="15623" max="15623" width="12.140625" customWidth="1"/>
    <col min="15624" max="15624" width="15.42578125" customWidth="1"/>
    <col min="15625" max="15625" width="17.140625" customWidth="1"/>
    <col min="15626" max="15626" width="12" customWidth="1"/>
    <col min="15627" max="15627" width="18.140625" customWidth="1"/>
    <col min="15628" max="15628" width="15.42578125" customWidth="1"/>
    <col min="15629" max="15629" width="10.42578125" customWidth="1"/>
    <col min="15630" max="15630" width="11.42578125" customWidth="1"/>
    <col min="15631" max="15631" width="20.140625" customWidth="1"/>
    <col min="15632" max="15632" width="18.85546875" customWidth="1"/>
    <col min="15633" max="15633" width="8.7109375" customWidth="1"/>
    <col min="15634" max="15634" width="15.42578125" customWidth="1"/>
    <col min="15635" max="15635" width="10.7109375" customWidth="1"/>
    <col min="15636" max="15636" width="15" customWidth="1"/>
    <col min="15871" max="15871" width="72.5703125" customWidth="1"/>
    <col min="15872" max="15872" width="17.7109375" customWidth="1"/>
    <col min="15873" max="15873" width="13.5703125" customWidth="1"/>
    <col min="15874" max="15874" width="16.7109375" customWidth="1"/>
    <col min="15875" max="15875" width="16.140625" customWidth="1"/>
    <col min="15876" max="15876" width="13.5703125" customWidth="1"/>
    <col min="15877" max="15877" width="15.7109375" customWidth="1"/>
    <col min="15878" max="15878" width="15.85546875" customWidth="1"/>
    <col min="15879" max="15879" width="12.140625" customWidth="1"/>
    <col min="15880" max="15880" width="15.42578125" customWidth="1"/>
    <col min="15881" max="15881" width="17.140625" customWidth="1"/>
    <col min="15882" max="15882" width="12" customWidth="1"/>
    <col min="15883" max="15883" width="18.140625" customWidth="1"/>
    <col min="15884" max="15884" width="15.42578125" customWidth="1"/>
    <col min="15885" max="15885" width="10.42578125" customWidth="1"/>
    <col min="15886" max="15886" width="11.42578125" customWidth="1"/>
    <col min="15887" max="15887" width="20.140625" customWidth="1"/>
    <col min="15888" max="15888" width="18.85546875" customWidth="1"/>
    <col min="15889" max="15889" width="8.7109375" customWidth="1"/>
    <col min="15890" max="15890" width="15.42578125" customWidth="1"/>
    <col min="15891" max="15891" width="10.7109375" customWidth="1"/>
    <col min="15892" max="15892" width="15" customWidth="1"/>
    <col min="16127" max="16127" width="72.5703125" customWidth="1"/>
    <col min="16128" max="16128" width="17.7109375" customWidth="1"/>
    <col min="16129" max="16129" width="13.5703125" customWidth="1"/>
    <col min="16130" max="16130" width="16.7109375" customWidth="1"/>
    <col min="16131" max="16131" width="16.140625" customWidth="1"/>
    <col min="16132" max="16132" width="13.5703125" customWidth="1"/>
    <col min="16133" max="16133" width="15.7109375" customWidth="1"/>
    <col min="16134" max="16134" width="15.85546875" customWidth="1"/>
    <col min="16135" max="16135" width="12.140625" customWidth="1"/>
    <col min="16136" max="16136" width="15.42578125" customWidth="1"/>
    <col min="16137" max="16137" width="17.140625" customWidth="1"/>
    <col min="16138" max="16138" width="12" customWidth="1"/>
    <col min="16139" max="16139" width="18.140625" customWidth="1"/>
    <col min="16140" max="16140" width="15.42578125" customWidth="1"/>
    <col min="16141" max="16141" width="10.42578125" customWidth="1"/>
    <col min="16142" max="16142" width="11.42578125" customWidth="1"/>
    <col min="16143" max="16143" width="20.140625" customWidth="1"/>
    <col min="16144" max="16144" width="18.85546875" customWidth="1"/>
    <col min="16145" max="16145" width="8.7109375" customWidth="1"/>
    <col min="16146" max="16146" width="15.42578125" customWidth="1"/>
    <col min="16147" max="16147" width="10.7109375" customWidth="1"/>
    <col min="16148" max="16148" width="15" customWidth="1"/>
  </cols>
  <sheetData>
    <row r="1" spans="1:20" ht="24.95" customHeight="1">
      <c r="A1" s="167"/>
      <c r="B1" s="168"/>
      <c r="C1" s="107"/>
      <c r="D1" s="109" t="s">
        <v>65</v>
      </c>
      <c r="E1" s="108"/>
      <c r="F1" s="108"/>
      <c r="G1" s="108"/>
      <c r="H1" s="108"/>
      <c r="I1" s="108"/>
      <c r="J1" s="108"/>
      <c r="K1" s="169"/>
      <c r="L1" s="169"/>
      <c r="M1" s="170"/>
      <c r="N1" s="168"/>
      <c r="O1" s="168"/>
      <c r="P1" s="168"/>
      <c r="Q1" s="168"/>
      <c r="R1" s="114"/>
      <c r="S1" s="114"/>
      <c r="T1" s="114"/>
    </row>
    <row r="2" spans="1:20" ht="24.95" customHeight="1">
      <c r="A2" s="114"/>
      <c r="B2" s="171" t="s">
        <v>2</v>
      </c>
      <c r="C2" s="114"/>
      <c r="D2" s="114"/>
      <c r="E2" s="114"/>
      <c r="F2" s="114"/>
      <c r="G2" s="114"/>
      <c r="H2" s="114"/>
      <c r="I2" s="114"/>
      <c r="J2" s="114"/>
      <c r="K2" s="172"/>
      <c r="L2" s="172"/>
      <c r="M2" s="172"/>
      <c r="N2" s="114"/>
      <c r="O2" s="114"/>
      <c r="P2" s="114"/>
      <c r="Q2" s="114"/>
      <c r="R2" s="114"/>
      <c r="S2" s="114"/>
      <c r="T2" s="114"/>
    </row>
    <row r="3" spans="1:20" ht="24.95" customHeight="1">
      <c r="A3" s="114"/>
      <c r="B3" s="173" t="s">
        <v>66</v>
      </c>
      <c r="C3" s="114"/>
      <c r="E3" s="112"/>
      <c r="G3" s="174"/>
      <c r="H3" s="174"/>
      <c r="I3" s="174"/>
      <c r="J3" s="174"/>
      <c r="K3" s="175"/>
      <c r="L3" s="172"/>
      <c r="M3" s="172"/>
      <c r="N3" s="114"/>
      <c r="O3" s="114"/>
      <c r="P3" s="114"/>
      <c r="Q3" s="114"/>
      <c r="R3" s="114"/>
      <c r="S3" s="114"/>
      <c r="T3" s="114"/>
    </row>
    <row r="4" spans="1:20" ht="30" customHeight="1" thickBo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76"/>
      <c r="L4" s="176"/>
      <c r="M4" s="176"/>
      <c r="N4" s="115"/>
      <c r="O4" s="115"/>
      <c r="P4" s="115"/>
      <c r="Q4" s="115"/>
      <c r="R4" s="115"/>
      <c r="S4" s="115"/>
    </row>
    <row r="5" spans="1:20" s="181" customFormat="1" ht="30" customHeight="1" thickTop="1">
      <c r="A5" s="177" t="s">
        <v>2</v>
      </c>
      <c r="B5" s="177" t="s">
        <v>2</v>
      </c>
      <c r="C5" s="117"/>
      <c r="D5" s="117"/>
      <c r="E5" s="116"/>
      <c r="F5" s="117"/>
      <c r="G5" s="117"/>
      <c r="H5" s="116"/>
      <c r="I5" s="117"/>
      <c r="J5" s="117"/>
      <c r="K5" s="178"/>
      <c r="L5" s="179"/>
      <c r="M5" s="179"/>
      <c r="N5" s="116"/>
      <c r="O5" s="117"/>
      <c r="P5" s="117"/>
      <c r="Q5" s="116"/>
      <c r="R5" s="117"/>
      <c r="S5" s="180"/>
    </row>
    <row r="6" spans="1:20" s="181" customFormat="1" ht="30" customHeight="1">
      <c r="A6" s="182"/>
      <c r="B6" s="120"/>
      <c r="C6" s="127" t="s">
        <v>67</v>
      </c>
      <c r="D6" s="152"/>
      <c r="E6" s="220" t="s">
        <v>4</v>
      </c>
      <c r="F6" s="221"/>
      <c r="G6" s="222"/>
      <c r="H6" s="121" t="s">
        <v>2</v>
      </c>
      <c r="I6" s="127" t="s">
        <v>5</v>
      </c>
      <c r="J6" s="152"/>
      <c r="K6" s="121" t="s">
        <v>2</v>
      </c>
      <c r="L6" s="127" t="s">
        <v>68</v>
      </c>
      <c r="M6" s="152"/>
      <c r="N6" s="121" t="s">
        <v>2</v>
      </c>
      <c r="O6" s="127" t="s">
        <v>7</v>
      </c>
      <c r="P6" s="152"/>
      <c r="Q6" s="220" t="s">
        <v>69</v>
      </c>
      <c r="R6" s="222"/>
      <c r="S6" s="180"/>
    </row>
    <row r="7" spans="1:20" s="181" customFormat="1" ht="30" customHeight="1">
      <c r="A7" s="183" t="s">
        <v>44</v>
      </c>
      <c r="B7" s="122"/>
      <c r="C7" s="123"/>
      <c r="D7" s="123"/>
      <c r="E7" s="122"/>
      <c r="F7" s="123"/>
      <c r="G7" s="123"/>
      <c r="H7" s="122"/>
      <c r="I7" s="123"/>
      <c r="J7" s="123"/>
      <c r="K7" s="184"/>
      <c r="L7" s="185"/>
      <c r="M7" s="185"/>
      <c r="N7" s="122"/>
      <c r="O7" s="123"/>
      <c r="P7" s="123"/>
      <c r="Q7" s="122"/>
      <c r="R7" s="123"/>
      <c r="S7" s="186"/>
    </row>
    <row r="8" spans="1:20" s="181" customFormat="1" ht="30" customHeight="1">
      <c r="A8" s="187"/>
      <c r="B8" s="188" t="s">
        <v>10</v>
      </c>
      <c r="C8" s="126" t="s">
        <v>11</v>
      </c>
      <c r="D8" s="126" t="s">
        <v>12</v>
      </c>
      <c r="E8" s="125" t="s">
        <v>10</v>
      </c>
      <c r="F8" s="188" t="s">
        <v>11</v>
      </c>
      <c r="G8" s="126" t="s">
        <v>12</v>
      </c>
      <c r="H8" s="125" t="s">
        <v>10</v>
      </c>
      <c r="I8" s="188" t="s">
        <v>11</v>
      </c>
      <c r="J8" s="126" t="s">
        <v>12</v>
      </c>
      <c r="K8" s="125" t="s">
        <v>10</v>
      </c>
      <c r="L8" s="188" t="s">
        <v>11</v>
      </c>
      <c r="M8" s="126" t="s">
        <v>12</v>
      </c>
      <c r="N8" s="125" t="s">
        <v>10</v>
      </c>
      <c r="O8" s="188" t="s">
        <v>11</v>
      </c>
      <c r="P8" s="126" t="s">
        <v>12</v>
      </c>
      <c r="Q8" s="189" t="s">
        <v>10</v>
      </c>
      <c r="R8" s="190" t="s">
        <v>12</v>
      </c>
      <c r="S8" s="180"/>
    </row>
    <row r="9" spans="1:20" s="181" customFormat="1" ht="30" customHeight="1">
      <c r="A9" s="182" t="s">
        <v>2</v>
      </c>
      <c r="B9" s="191" t="s">
        <v>13</v>
      </c>
      <c r="C9" s="192" t="s">
        <v>14</v>
      </c>
      <c r="D9" s="193" t="s">
        <v>15</v>
      </c>
      <c r="E9" s="191" t="s">
        <v>13</v>
      </c>
      <c r="F9" s="192" t="s">
        <v>14</v>
      </c>
      <c r="G9" s="193" t="s">
        <v>15</v>
      </c>
      <c r="H9" s="191" t="s">
        <v>13</v>
      </c>
      <c r="I9" s="192" t="s">
        <v>14</v>
      </c>
      <c r="J9" s="193" t="s">
        <v>15</v>
      </c>
      <c r="K9" s="191" t="s">
        <v>13</v>
      </c>
      <c r="L9" s="192" t="s">
        <v>14</v>
      </c>
      <c r="M9" s="193" t="s">
        <v>15</v>
      </c>
      <c r="N9" s="191" t="s">
        <v>13</v>
      </c>
      <c r="O9" s="192" t="s">
        <v>14</v>
      </c>
      <c r="P9" s="193" t="s">
        <v>15</v>
      </c>
      <c r="Q9" s="194" t="s">
        <v>13</v>
      </c>
      <c r="R9" s="195" t="s">
        <v>15</v>
      </c>
      <c r="S9" s="180"/>
    </row>
    <row r="10" spans="1:20" s="181" customFormat="1" ht="30" customHeight="1">
      <c r="A10" s="183" t="s">
        <v>45</v>
      </c>
      <c r="B10" s="131"/>
      <c r="C10" s="132"/>
      <c r="D10" s="133"/>
      <c r="E10" s="131"/>
      <c r="F10" s="132"/>
      <c r="G10" s="133"/>
      <c r="H10" s="131">
        <f>[1]Dakar!H11</f>
        <v>234</v>
      </c>
      <c r="I10" s="132">
        <f>[1]Dakar!I11</f>
        <v>705.22900000000004</v>
      </c>
      <c r="J10" s="133">
        <f>[1]Dakar!J11</f>
        <v>165.02358600000002</v>
      </c>
      <c r="K10" s="131"/>
      <c r="L10" s="132"/>
      <c r="M10" s="133"/>
      <c r="N10" s="131"/>
      <c r="O10" s="132"/>
      <c r="P10" s="133"/>
      <c r="Q10" s="120">
        <f>N10+K10+H10+E10+B10</f>
        <v>234</v>
      </c>
      <c r="R10" s="133">
        <f>P10+M10+J10+G10+D10</f>
        <v>165.02358600000002</v>
      </c>
      <c r="S10" s="180"/>
    </row>
    <row r="11" spans="1:20" s="181" customFormat="1" ht="30" customHeight="1">
      <c r="A11" s="183" t="s">
        <v>46</v>
      </c>
      <c r="B11" s="131">
        <f>[1]Diourbel!B13</f>
        <v>112673.8474791125</v>
      </c>
      <c r="C11" s="134">
        <f>[1]Diourbel!C13</f>
        <v>697.87107744609887</v>
      </c>
      <c r="D11" s="133">
        <f>[1]Diourbel!D13</f>
        <v>78631.819340245653</v>
      </c>
      <c r="E11" s="131">
        <f>[1]Diourbel!E13</f>
        <v>17950.032944013434</v>
      </c>
      <c r="F11" s="134">
        <f>[1]Diourbel!F13</f>
        <v>829.44581744679533</v>
      </c>
      <c r="G11" s="133">
        <f>[1]Diourbel!G13</f>
        <v>14888.57974844413</v>
      </c>
      <c r="H11" s="131">
        <f>[1]Diourbel!H13</f>
        <v>932</v>
      </c>
      <c r="I11" s="134">
        <f>[1]Diourbel!I13</f>
        <v>944.27896995708147</v>
      </c>
      <c r="J11" s="133">
        <f>[1]Diourbel!J13</f>
        <v>880.06799999999998</v>
      </c>
      <c r="K11" s="131"/>
      <c r="L11" s="134"/>
      <c r="M11" s="133"/>
      <c r="N11" s="131"/>
      <c r="O11" s="134"/>
      <c r="P11" s="133"/>
      <c r="Q11" s="120">
        <f t="shared" ref="Q11:Q23" si="0">N11+K11+H11+E11+B11</f>
        <v>131555.88042312593</v>
      </c>
      <c r="R11" s="133">
        <f t="shared" ref="R11:R23" si="1">P11+M11+J11+G11+D11</f>
        <v>94400.46708868978</v>
      </c>
      <c r="S11" s="180"/>
    </row>
    <row r="12" spans="1:20" s="181" customFormat="1" ht="30" customHeight="1">
      <c r="A12" s="183" t="s">
        <v>47</v>
      </c>
      <c r="B12" s="131">
        <f>[1]Fatick!B14</f>
        <v>194733.01453480995</v>
      </c>
      <c r="C12" s="134">
        <f>[1]Fatick!C14</f>
        <v>1062.7889419319552</v>
      </c>
      <c r="D12" s="134">
        <f>[1]Fatick!D14</f>
        <v>206960.09447667073</v>
      </c>
      <c r="E12" s="131">
        <f>[1]Fatick!E14</f>
        <v>19421.772892315093</v>
      </c>
      <c r="F12" s="134">
        <f>[1]Fatick!F14</f>
        <v>1080.3545776830042</v>
      </c>
      <c r="G12" s="134">
        <f>[1]Fatick!G14</f>
        <v>20982.401250932289</v>
      </c>
      <c r="H12" s="131">
        <f>[1]Fatick!H14</f>
        <v>34430</v>
      </c>
      <c r="I12" s="134">
        <f>[1]Fatick!I14</f>
        <v>2292.5147255300608</v>
      </c>
      <c r="J12" s="134">
        <f>[1]Fatick!J14</f>
        <v>78931.281999999992</v>
      </c>
      <c r="K12" s="131">
        <f>[1]Fatick!K14</f>
        <v>7737.8</v>
      </c>
      <c r="L12" s="134">
        <f>[1]Fatick!L14</f>
        <v>2221.6314365840421</v>
      </c>
      <c r="M12" s="134">
        <f>[1]Fatick!M14</f>
        <v>17190.53973</v>
      </c>
      <c r="N12" s="131"/>
      <c r="O12" s="134"/>
      <c r="P12" s="134"/>
      <c r="Q12" s="120">
        <f t="shared" si="0"/>
        <v>256322.58742712505</v>
      </c>
      <c r="R12" s="133">
        <f t="shared" si="1"/>
        <v>324064.317457603</v>
      </c>
      <c r="S12" s="180"/>
    </row>
    <row r="13" spans="1:20" s="181" customFormat="1" ht="30" customHeight="1">
      <c r="A13" s="183" t="s">
        <v>48</v>
      </c>
      <c r="B13" s="135">
        <f>[1]Kaolack!B13</f>
        <v>151017.05411892617</v>
      </c>
      <c r="C13" s="136">
        <f>[1]Kaolack!C13</f>
        <v>1225.135095767725</v>
      </c>
      <c r="D13" s="136">
        <f>[1]Kaolack!D13</f>
        <v>185016.29306055032</v>
      </c>
      <c r="E13" s="135">
        <f>[1]Kaolack!E13</f>
        <v>26814</v>
      </c>
      <c r="F13" s="136">
        <f>[1]Kaolack!F13</f>
        <v>1517.2318564928771</v>
      </c>
      <c r="G13" s="136">
        <f>[1]Kaolack!G13</f>
        <v>40683.055000000008</v>
      </c>
      <c r="H13" s="135">
        <f>[1]Kaolack!H13</f>
        <v>44750</v>
      </c>
      <c r="I13" s="136">
        <f>[1]Kaolack!I13</f>
        <v>2652.4779888268158</v>
      </c>
      <c r="J13" s="136">
        <f>[1]Kaolack!J13</f>
        <v>118698.39</v>
      </c>
      <c r="K13" s="135">
        <f>[1]Kaolack!K13</f>
        <v>1986.6952243659734</v>
      </c>
      <c r="L13" s="136">
        <f>[1]Kaolack!L13</f>
        <v>1538.0872597488478</v>
      </c>
      <c r="M13" s="136">
        <f>[1]Kaolack!M13</f>
        <v>3055.7106136011826</v>
      </c>
      <c r="N13" s="135"/>
      <c r="O13" s="136"/>
      <c r="P13" s="136"/>
      <c r="Q13" s="120">
        <f t="shared" si="0"/>
        <v>224567.74934329215</v>
      </c>
      <c r="R13" s="133">
        <f t="shared" si="1"/>
        <v>347453.44867415156</v>
      </c>
      <c r="S13" s="180"/>
    </row>
    <row r="14" spans="1:20" s="181" customFormat="1" ht="30" customHeight="1">
      <c r="A14" s="183" t="s">
        <v>16</v>
      </c>
      <c r="B14" s="131">
        <f>[1]Kolda!B17</f>
        <v>49905.317258104682</v>
      </c>
      <c r="C14" s="134">
        <f>[1]Kolda!C17</f>
        <v>1886.0185062182557</v>
      </c>
      <c r="D14" s="134">
        <f>[1]Kolda!D17</f>
        <v>94122.351907478733</v>
      </c>
      <c r="E14" s="131">
        <f>[1]Kolda!E17</f>
        <v>39009.253058315</v>
      </c>
      <c r="F14" s="134">
        <f>[1]Kolda!F17</f>
        <v>1447.4226940080134</v>
      </c>
      <c r="G14" s="134">
        <f>[1]Kolda!G17</f>
        <v>56462.878152906633</v>
      </c>
      <c r="H14" s="131">
        <f>[1]Kolda!H17</f>
        <v>50025.120525999642</v>
      </c>
      <c r="I14" s="134">
        <f>[1]Kolda!I17</f>
        <v>3612.1161344098105</v>
      </c>
      <c r="J14" s="134">
        <f>[1]Kolda!J17</f>
        <v>180696.54497775869</v>
      </c>
      <c r="K14" s="131">
        <f>[1]Kolda!K17</f>
        <v>125436.78</v>
      </c>
      <c r="L14" s="134">
        <f>[1]Kolda!L17</f>
        <v>2944.3543863291134</v>
      </c>
      <c r="M14" s="134">
        <f>[1]Kolda!M17</f>
        <v>369330.3334</v>
      </c>
      <c r="N14" s="131">
        <f>[1]Kolda!N17</f>
        <v>239</v>
      </c>
      <c r="O14" s="134">
        <f>[1]Kolda!O17</f>
        <v>890</v>
      </c>
      <c r="P14" s="134">
        <f>[1]Kolda!P17</f>
        <v>212.71</v>
      </c>
      <c r="Q14" s="120">
        <f t="shared" si="0"/>
        <v>264615.47084241931</v>
      </c>
      <c r="R14" s="133">
        <f t="shared" si="1"/>
        <v>700824.81843814417</v>
      </c>
      <c r="S14" s="180"/>
    </row>
    <row r="15" spans="1:20" s="181" customFormat="1" ht="30" customHeight="1">
      <c r="A15" s="183" t="s">
        <v>50</v>
      </c>
      <c r="B15" s="131">
        <f>[1]Louga!B12</f>
        <v>96695.423108263916</v>
      </c>
      <c r="C15" s="134">
        <f>[1]Louga!C12</f>
        <v>539.12691282781725</v>
      </c>
      <c r="D15" s="133">
        <f>[1]Louga!D12</f>
        <v>52131.104944937899</v>
      </c>
      <c r="E15" s="131">
        <f>[1]Louga!E12</f>
        <v>2078</v>
      </c>
      <c r="F15" s="134">
        <f>[1]Louga!F12</f>
        <v>490.20837343599618</v>
      </c>
      <c r="G15" s="133">
        <f>[1]Louga!G12</f>
        <v>1018.653</v>
      </c>
      <c r="H15" s="131">
        <f>[1]Louga!H12</f>
        <v>5989</v>
      </c>
      <c r="I15" s="134">
        <f>[1]Louga!I12</f>
        <v>630</v>
      </c>
      <c r="J15" s="133">
        <f>[1]Louga!J12</f>
        <v>3773.07</v>
      </c>
      <c r="K15" s="131"/>
      <c r="L15" s="134"/>
      <c r="M15" s="133"/>
      <c r="N15" s="131"/>
      <c r="O15" s="134"/>
      <c r="P15" s="133"/>
      <c r="Q15" s="120">
        <f t="shared" si="0"/>
        <v>104762.42310826392</v>
      </c>
      <c r="R15" s="133">
        <f t="shared" si="1"/>
        <v>56922.827944937897</v>
      </c>
      <c r="S15" s="180"/>
      <c r="T15" s="196"/>
    </row>
    <row r="16" spans="1:20" s="181" customFormat="1" ht="30" customHeight="1">
      <c r="A16" s="183" t="s">
        <v>51</v>
      </c>
      <c r="B16" s="131">
        <f>'[1]Saint-Louis'!B17</f>
        <v>4879.8842158036505</v>
      </c>
      <c r="C16" s="137">
        <f>'[1]Saint-Louis'!C17</f>
        <v>322.09219763516973</v>
      </c>
      <c r="D16" s="132">
        <f>'[1]Saint-Louis'!D17</f>
        <v>1571.7726312733746</v>
      </c>
      <c r="E16" s="131">
        <f>'[1]Saint-Louis'!E17</f>
        <v>5154</v>
      </c>
      <c r="F16" s="137">
        <f>'[1]Saint-Louis'!F17</f>
        <v>549.58963911525029</v>
      </c>
      <c r="G16" s="132">
        <f>'[1]Saint-Louis'!G17</f>
        <v>2832.585</v>
      </c>
      <c r="H16" s="131">
        <f>'[1]Saint-Louis'!H17</f>
        <v>2947.7665529407022</v>
      </c>
      <c r="I16" s="137">
        <f>'[1]Saint-Louis'!I17</f>
        <v>1795.9496135092481</v>
      </c>
      <c r="J16" s="132">
        <f>'[1]Saint-Louis'!J17</f>
        <v>5294.0402014693427</v>
      </c>
      <c r="K16" s="131">
        <f>'[1]Saint-Louis'!K17</f>
        <v>64159</v>
      </c>
      <c r="L16" s="134">
        <f>'[1]Saint-Louis'!L17</f>
        <v>4720.0174566311825</v>
      </c>
      <c r="M16" s="134">
        <f>'[1]Saint-Louis'!M17</f>
        <v>302831.60000000003</v>
      </c>
      <c r="N16" s="131"/>
      <c r="O16" s="137"/>
      <c r="P16" s="132"/>
      <c r="Q16" s="120">
        <f t="shared" si="0"/>
        <v>77140.650768744366</v>
      </c>
      <c r="R16" s="133">
        <f t="shared" si="1"/>
        <v>312529.99783274275</v>
      </c>
      <c r="S16" s="180"/>
    </row>
    <row r="17" spans="1:21" s="181" customFormat="1" ht="30" customHeight="1">
      <c r="A17" s="183" t="s">
        <v>52</v>
      </c>
      <c r="B17" s="131">
        <f>[1]Tamba!B17</f>
        <v>46764</v>
      </c>
      <c r="C17" s="137">
        <f>[1]Tamba!C17</f>
        <v>1348.4658925669316</v>
      </c>
      <c r="D17" s="132">
        <f>[1]Tamba!D17</f>
        <v>63059.659</v>
      </c>
      <c r="E17" s="131">
        <f>[1]Tamba!E17</f>
        <v>41254.832225737431</v>
      </c>
      <c r="F17" s="137">
        <f>[1]Tamba!F17</f>
        <v>1541.8183018102588</v>
      </c>
      <c r="G17" s="132">
        <f>[1]Tamba!G17</f>
        <v>63607.45536375363</v>
      </c>
      <c r="H17" s="131">
        <f>[1]Tamba!H17</f>
        <v>38849.067999999999</v>
      </c>
      <c r="I17" s="137">
        <f>[1]Tamba!I17</f>
        <v>2620.1522428285793</v>
      </c>
      <c r="J17" s="132">
        <f>[1]Tamba!J17</f>
        <v>101790.472652</v>
      </c>
      <c r="K17" s="131">
        <f>[1]Tamba!K17</f>
        <v>7697.2986133583099</v>
      </c>
      <c r="L17" s="137">
        <f>[1]Tamba!L17</f>
        <v>2859.2339598448766</v>
      </c>
      <c r="M17" s="132">
        <f>[1]Tamba!M17</f>
        <v>22008.37759438096</v>
      </c>
      <c r="N17" s="131">
        <f>[1]Tamba!N17</f>
        <v>88.173919999999995</v>
      </c>
      <c r="O17" s="137">
        <f>[1]Tamba!O17</f>
        <v>600</v>
      </c>
      <c r="P17" s="132">
        <f>[1]Tamba!P17</f>
        <v>52.904351999999996</v>
      </c>
      <c r="Q17" s="120">
        <f t="shared" si="0"/>
        <v>134653.37275909574</v>
      </c>
      <c r="R17" s="133">
        <f t="shared" si="1"/>
        <v>250518.86896213458</v>
      </c>
      <c r="S17" s="180"/>
    </row>
    <row r="18" spans="1:21" s="181" customFormat="1" ht="30" customHeight="1">
      <c r="A18" s="183" t="s">
        <v>53</v>
      </c>
      <c r="B18" s="131">
        <f>[1]Thiès!B14</f>
        <v>110911.60251078093</v>
      </c>
      <c r="C18" s="137">
        <f>[1]Thiès!C14</f>
        <v>785.74507074725102</v>
      </c>
      <c r="D18" s="132">
        <f>[1]Thiès!D14</f>
        <v>87148.244961524542</v>
      </c>
      <c r="E18" s="131">
        <f>[1]Thiès!E14</f>
        <v>13544.145970006217</v>
      </c>
      <c r="F18" s="137">
        <f>[1]Thiès!F14</f>
        <v>688.21488873779458</v>
      </c>
      <c r="G18" s="132">
        <f>[1]Thiès!G14</f>
        <v>9321.2829117962774</v>
      </c>
      <c r="H18" s="131">
        <f>[1]Thiès!H14</f>
        <v>2942</v>
      </c>
      <c r="I18" s="137">
        <f>[1]Thiès!I14</f>
        <v>676.17872875594833</v>
      </c>
      <c r="J18" s="132">
        <f>[1]Thiès!J14</f>
        <v>1989.31782</v>
      </c>
      <c r="K18" s="131"/>
      <c r="L18" s="137"/>
      <c r="M18" s="132"/>
      <c r="N18" s="131"/>
      <c r="O18" s="137"/>
      <c r="P18" s="132"/>
      <c r="Q18" s="120">
        <f t="shared" si="0"/>
        <v>127397.74848078715</v>
      </c>
      <c r="R18" s="133">
        <f t="shared" si="1"/>
        <v>98458.845693320822</v>
      </c>
      <c r="S18" s="180"/>
      <c r="T18" s="197"/>
      <c r="U18" s="197"/>
    </row>
    <row r="19" spans="1:21" s="181" customFormat="1" ht="30" customHeight="1">
      <c r="A19" s="183" t="s">
        <v>54</v>
      </c>
      <c r="B19" s="131">
        <f>[1]Ziguinchor!B17</f>
        <v>7767.2823790164548</v>
      </c>
      <c r="C19" s="137">
        <f>[1]Ziguinchor!C17</f>
        <v>912.24307687060139</v>
      </c>
      <c r="D19" s="132">
        <f>[1]Ziguinchor!D17</f>
        <v>7085.6495763567755</v>
      </c>
      <c r="E19" s="131">
        <f>[1]Ziguinchor!E17</f>
        <v>643.37811724297774</v>
      </c>
      <c r="F19" s="137">
        <f>[1]Ziguinchor!F17</f>
        <v>826.43876786268606</v>
      </c>
      <c r="G19" s="132">
        <f>[1]Ziguinchor!G17</f>
        <v>531.71261848410131</v>
      </c>
      <c r="H19" s="131">
        <f>[1]Ziguinchor!H17</f>
        <v>2367</v>
      </c>
      <c r="I19" s="137">
        <f>[1]Ziguinchor!I17</f>
        <v>1473.2386692296859</v>
      </c>
      <c r="J19" s="132">
        <f>[1]Ziguinchor!J17</f>
        <v>3487.1559300666668</v>
      </c>
      <c r="K19" s="131">
        <f>[1]Ziguinchor!K17</f>
        <v>69935.178747669022</v>
      </c>
      <c r="L19" s="137">
        <f>[1]Ziguinchor!L17</f>
        <v>3097.5225446117984</v>
      </c>
      <c r="M19" s="132">
        <f>[1]Ziguinchor!M17</f>
        <v>216625.79283236072</v>
      </c>
      <c r="N19" s="131"/>
      <c r="O19" s="137"/>
      <c r="P19" s="132"/>
      <c r="Q19" s="120">
        <f t="shared" si="0"/>
        <v>80712.839243928451</v>
      </c>
      <c r="R19" s="133">
        <f t="shared" si="1"/>
        <v>227730.31095726826</v>
      </c>
      <c r="S19" s="180"/>
      <c r="T19" s="197"/>
      <c r="U19" s="197"/>
    </row>
    <row r="20" spans="1:21" s="181" customFormat="1" ht="30" customHeight="1">
      <c r="A20" s="183" t="s">
        <v>55</v>
      </c>
      <c r="B20" s="131">
        <f>[1]Matam!B16</f>
        <v>32326.644240357051</v>
      </c>
      <c r="C20" s="137">
        <f>[1]Matam!C16</f>
        <v>546.21709946708984</v>
      </c>
      <c r="D20" s="132">
        <f>[1]Matam!D16</f>
        <v>17657.365852472336</v>
      </c>
      <c r="E20" s="131">
        <f>[1]Matam!E16</f>
        <v>18937.740000000002</v>
      </c>
      <c r="F20" s="137">
        <f>[1]Matam!F16</f>
        <v>471.44358096583852</v>
      </c>
      <c r="G20" s="132">
        <f>[1]Matam!G16</f>
        <v>8928.0759610000005</v>
      </c>
      <c r="H20" s="131">
        <f>[1]Matam!H16</f>
        <v>373</v>
      </c>
      <c r="I20" s="137">
        <f>[1]Matam!I16</f>
        <v>828.89758713136746</v>
      </c>
      <c r="J20" s="132">
        <f>[1]Matam!J16</f>
        <v>309.17880000000002</v>
      </c>
      <c r="K20" s="131">
        <f>[1]Matam!K16</f>
        <v>8798</v>
      </c>
      <c r="L20" s="137">
        <f>[1]Matam!L16</f>
        <v>5322.6187769947719</v>
      </c>
      <c r="M20" s="132">
        <f>[1]Matam!M16</f>
        <v>46828.4</v>
      </c>
      <c r="N20" s="131"/>
      <c r="O20" s="137"/>
      <c r="P20" s="132"/>
      <c r="Q20" s="120">
        <f t="shared" si="0"/>
        <v>60435.384240357052</v>
      </c>
      <c r="R20" s="133">
        <f t="shared" si="1"/>
        <v>73723.020613472341</v>
      </c>
      <c r="S20" s="180"/>
      <c r="T20" s="197"/>
      <c r="U20" s="197"/>
    </row>
    <row r="21" spans="1:21" ht="30" customHeight="1">
      <c r="A21" s="121" t="s">
        <v>56</v>
      </c>
      <c r="B21" s="131">
        <f>[1]Kaffrine!B14</f>
        <v>171685</v>
      </c>
      <c r="C21" s="137">
        <f>[1]Kaffrine!C14</f>
        <v>1540.8293560881848</v>
      </c>
      <c r="D21" s="132">
        <f>[1]Kaffrine!D14</f>
        <v>264537.288</v>
      </c>
      <c r="E21" s="131">
        <f>[1]Kaffrine!E14</f>
        <v>66884</v>
      </c>
      <c r="F21" s="137">
        <f>[1]Kaffrine!F14</f>
        <v>1438.8633753962085</v>
      </c>
      <c r="G21" s="132">
        <f>[1]Kaffrine!G14</f>
        <v>96236.938000000009</v>
      </c>
      <c r="H21" s="131">
        <f>[1]Kaffrine!H14</f>
        <v>39417</v>
      </c>
      <c r="I21" s="137">
        <f>[1]Kaffrine!I14</f>
        <v>1779.7603318365173</v>
      </c>
      <c r="J21" s="132">
        <f>[1]Kaffrine!J14</f>
        <v>70152.812999999995</v>
      </c>
      <c r="K21" s="131">
        <f>[1]Kaffrine!K14</f>
        <v>614.40617134192337</v>
      </c>
      <c r="L21" s="137">
        <f>[1]Kaffrine!L14</f>
        <v>914.72571488768097</v>
      </c>
      <c r="M21" s="132">
        <f>[1]Kaffrine!M14</f>
        <v>562.01312431214387</v>
      </c>
      <c r="N21" s="131"/>
      <c r="O21" s="137"/>
      <c r="P21" s="132"/>
      <c r="Q21" s="120">
        <f t="shared" si="0"/>
        <v>278600.40617134189</v>
      </c>
      <c r="R21" s="133">
        <f t="shared" si="1"/>
        <v>431489.05212431215</v>
      </c>
      <c r="S21" s="131"/>
      <c r="U21" s="166"/>
    </row>
    <row r="22" spans="1:21" ht="30" customHeight="1">
      <c r="A22" s="121" t="s">
        <v>57</v>
      </c>
      <c r="B22" s="131"/>
      <c r="C22" s="137"/>
      <c r="D22" s="132"/>
      <c r="E22" s="131">
        <f>[1]Kédougou!E16</f>
        <v>4350.4092795480701</v>
      </c>
      <c r="F22" s="137">
        <f>[1]Kédougou!F16</f>
        <v>3245.0037689514807</v>
      </c>
      <c r="G22" s="132">
        <f>[1]Kédougou!G16</f>
        <v>14117.094508614984</v>
      </c>
      <c r="H22" s="131">
        <f>[1]Kédougou!H16</f>
        <v>14929</v>
      </c>
      <c r="I22" s="137">
        <f>[1]Kédougou!I16</f>
        <v>2326.1155368745394</v>
      </c>
      <c r="J22" s="132">
        <f>[1]Kédougou!J16</f>
        <v>34726.578849999998</v>
      </c>
      <c r="K22" s="131">
        <f>[1]Kédougou!K16</f>
        <v>12273.2178</v>
      </c>
      <c r="L22" s="137">
        <f>[1]Kédougou!L16</f>
        <v>3118.9313352095814</v>
      </c>
      <c r="M22" s="132">
        <f>[1]Kédougou!M16</f>
        <v>38279.323580272001</v>
      </c>
      <c r="N22" s="131">
        <f>[1]Kédougou!N16</f>
        <v>2344.9987000000001</v>
      </c>
      <c r="O22" s="137">
        <f>[1]Kédougou!O16</f>
        <v>1024.8315869002399</v>
      </c>
      <c r="P22" s="132">
        <f>[1]Kédougou!P16</f>
        <v>2403.2287390000001</v>
      </c>
      <c r="Q22" s="120">
        <f t="shared" si="0"/>
        <v>33897.625779548071</v>
      </c>
      <c r="R22" s="133">
        <f t="shared" si="1"/>
        <v>89526.225677886992</v>
      </c>
      <c r="S22" s="131"/>
      <c r="T22" s="198"/>
    </row>
    <row r="23" spans="1:21" ht="30" customHeight="1">
      <c r="A23" s="121" t="s">
        <v>58</v>
      </c>
      <c r="B23" s="131">
        <f>[1]Sedhiou!B16</f>
        <v>43706</v>
      </c>
      <c r="C23" s="137">
        <f>[1]Sedhiou!C16</f>
        <v>1989.0467441541209</v>
      </c>
      <c r="D23" s="134">
        <f>[1]Sedhiou!D16</f>
        <v>86933.277000000002</v>
      </c>
      <c r="E23" s="131">
        <f>[1]Sedhiou!E16</f>
        <v>22059</v>
      </c>
      <c r="F23" s="137">
        <f>[1]Sedhiou!F16</f>
        <v>2162.9335418649985</v>
      </c>
      <c r="G23" s="134">
        <f>[1]Sedhiou!G16</f>
        <v>47712.150999999998</v>
      </c>
      <c r="H23" s="131">
        <f>[1]Sedhiou!H16</f>
        <v>48792.4</v>
      </c>
      <c r="I23" s="137">
        <f>[1]Sedhiou!I16</f>
        <v>3299.4708315229418</v>
      </c>
      <c r="J23" s="134">
        <f>[1]Sedhiou!J16</f>
        <v>160989.10060000001</v>
      </c>
      <c r="K23" s="131">
        <f>[1]Sedhiou!K16</f>
        <v>105088.27372463075</v>
      </c>
      <c r="L23" s="137">
        <f>[1]Sedhiou!L16</f>
        <v>3168.8685043899786</v>
      </c>
      <c r="M23" s="134">
        <f>[1]Sedhiou!M16</f>
        <v>333010.92078669532</v>
      </c>
      <c r="N23" s="131">
        <f>[1]Sedhiou!N16</f>
        <v>4000</v>
      </c>
      <c r="O23" s="137">
        <f>[1]Sedhiou!O16</f>
        <v>1022.9999999999999</v>
      </c>
      <c r="P23" s="134">
        <f>[1]Sedhiou!P16</f>
        <v>4092</v>
      </c>
      <c r="Q23" s="120">
        <f t="shared" si="0"/>
        <v>223645.67372463076</v>
      </c>
      <c r="R23" s="133">
        <f t="shared" si="1"/>
        <v>632737.44938669528</v>
      </c>
      <c r="S23" s="131"/>
      <c r="T23" s="198"/>
    </row>
    <row r="24" spans="1:21" s="181" customFormat="1" ht="30" customHeight="1">
      <c r="A24" s="183"/>
      <c r="B24" s="120"/>
      <c r="C24" s="152"/>
      <c r="D24" s="152"/>
      <c r="E24" s="120"/>
      <c r="F24" s="152"/>
      <c r="G24" s="152"/>
      <c r="H24" s="120"/>
      <c r="I24" s="152"/>
      <c r="J24" s="152"/>
      <c r="K24" s="120"/>
      <c r="L24" s="152"/>
      <c r="M24" s="152"/>
      <c r="N24" s="120"/>
      <c r="O24" s="152"/>
      <c r="P24" s="152"/>
      <c r="Q24" s="120"/>
      <c r="R24" s="199"/>
      <c r="S24" s="180"/>
    </row>
    <row r="25" spans="1:21" s="181" customFormat="1" ht="30" customHeight="1">
      <c r="A25" s="200"/>
      <c r="B25" s="140"/>
      <c r="C25" s="141"/>
      <c r="D25" s="141"/>
      <c r="E25" s="140"/>
      <c r="F25" s="141"/>
      <c r="G25" s="141"/>
      <c r="H25" s="140"/>
      <c r="I25" s="141"/>
      <c r="J25" s="141"/>
      <c r="K25" s="140"/>
      <c r="L25" s="141"/>
      <c r="M25" s="141"/>
      <c r="N25" s="140"/>
      <c r="O25" s="141"/>
      <c r="P25" s="141"/>
      <c r="Q25" s="140"/>
      <c r="R25" s="141"/>
      <c r="S25" s="180"/>
      <c r="T25" s="197"/>
    </row>
    <row r="26" spans="1:21" s="181" customFormat="1" ht="30" customHeight="1">
      <c r="A26" s="121" t="s">
        <v>59</v>
      </c>
      <c r="B26" s="120">
        <f>SUM(B10:B24)</f>
        <v>1023065.0698451753</v>
      </c>
      <c r="C26" s="133">
        <f>(D26/B26)*1000</f>
        <v>1119.0440906410442</v>
      </c>
      <c r="D26" s="133">
        <f>SUM(D10:D24)</f>
        <v>1144854.9207515104</v>
      </c>
      <c r="E26" s="120">
        <f>SUM(E10:E24)</f>
        <v>278100.56448717823</v>
      </c>
      <c r="F26" s="133">
        <f>(G26/E26)*1000</f>
        <v>1356.7856764754192</v>
      </c>
      <c r="G26" s="133">
        <f>SUM(G10:G24)</f>
        <v>377322.86251593201</v>
      </c>
      <c r="H26" s="120">
        <f>SUM(H10:H24)</f>
        <v>286977.35507894034</v>
      </c>
      <c r="I26" s="133">
        <f>(J26/H26)*1000</f>
        <v>2654.8541999340669</v>
      </c>
      <c r="J26" s="133">
        <f>SUM(J10:J24)</f>
        <v>761883.03641729476</v>
      </c>
      <c r="K26" s="120">
        <f>SUM(K10:K24)</f>
        <v>403726.65028136602</v>
      </c>
      <c r="L26" s="133">
        <f>(M26/K26)*1000</f>
        <v>3343.1605536096531</v>
      </c>
      <c r="M26" s="133">
        <f>SUM(M10:M24)</f>
        <v>1349723.0116616224</v>
      </c>
      <c r="N26" s="120">
        <f>SUM(N10:N24)</f>
        <v>6672.1726200000003</v>
      </c>
      <c r="O26" s="133">
        <f>(P26/N26)*1000</f>
        <v>1013.289594866627</v>
      </c>
      <c r="P26" s="133">
        <f>SUM(P10:P24)</f>
        <v>6760.8430910000006</v>
      </c>
      <c r="Q26" s="120">
        <f>B26+E26+H26+K26+N26</f>
        <v>1998541.8123126598</v>
      </c>
      <c r="R26" s="133">
        <f>D26+G26+J26+M26+P26</f>
        <v>3640544.6744373599</v>
      </c>
      <c r="S26" s="201"/>
      <c r="T26" s="197"/>
    </row>
    <row r="27" spans="1:21" s="181" customFormat="1" ht="30" customHeight="1">
      <c r="A27" s="143"/>
      <c r="B27" s="143"/>
      <c r="C27" s="144"/>
      <c r="D27" s="144"/>
      <c r="E27" s="143"/>
      <c r="F27" s="144"/>
      <c r="G27" s="144"/>
      <c r="H27" s="143"/>
      <c r="I27" s="144"/>
      <c r="J27" s="144"/>
      <c r="K27" s="143"/>
      <c r="L27" s="144"/>
      <c r="M27" s="144"/>
      <c r="N27" s="143"/>
      <c r="O27" s="144"/>
      <c r="P27" s="144"/>
      <c r="Q27" s="143"/>
      <c r="R27" s="145"/>
      <c r="S27" s="152"/>
    </row>
    <row r="28" spans="1:21" s="181" customFormat="1" ht="30" customHeight="1">
      <c r="A28" s="200"/>
      <c r="B28" s="140"/>
      <c r="C28" s="141"/>
      <c r="D28" s="141"/>
      <c r="E28" s="140"/>
      <c r="F28" s="141"/>
      <c r="G28" s="141"/>
      <c r="H28" s="140"/>
      <c r="I28" s="141"/>
      <c r="J28" s="141"/>
      <c r="K28" s="140"/>
      <c r="L28" s="141"/>
      <c r="M28" s="141"/>
      <c r="N28" s="140"/>
      <c r="O28" s="141"/>
      <c r="P28" s="141"/>
      <c r="Q28" s="140"/>
      <c r="R28" s="141"/>
      <c r="S28" s="202"/>
    </row>
    <row r="29" spans="1:21" s="181" customFormat="1" ht="23.25">
      <c r="A29" s="121" t="s">
        <v>60</v>
      </c>
      <c r="B29" s="120">
        <v>880408</v>
      </c>
      <c r="C29" s="133">
        <v>916.67053205672823</v>
      </c>
      <c r="D29" s="133">
        <v>807044.06978699996</v>
      </c>
      <c r="E29" s="120">
        <v>238832.5</v>
      </c>
      <c r="F29" s="133">
        <v>1131.2041261134896</v>
      </c>
      <c r="G29" s="133">
        <v>270168.30945</v>
      </c>
      <c r="H29" s="120">
        <v>258390.59999999998</v>
      </c>
      <c r="I29" s="133">
        <v>2053.886531863001</v>
      </c>
      <c r="J29" s="133">
        <v>530704.97329999995</v>
      </c>
      <c r="K29" s="120">
        <v>345595.95220962417</v>
      </c>
      <c r="L29" s="133">
        <v>3344.1661399096542</v>
      </c>
      <c r="M29" s="133">
        <v>1155730.2814692601</v>
      </c>
      <c r="N29" s="120">
        <v>5897.33</v>
      </c>
      <c r="O29" s="133">
        <v>873.48825485431553</v>
      </c>
      <c r="P29" s="133">
        <v>5151.2484899999999</v>
      </c>
      <c r="Q29" s="120">
        <v>1729124.3822096244</v>
      </c>
      <c r="R29" s="133">
        <v>2768798.8824962601</v>
      </c>
      <c r="S29" s="180"/>
    </row>
    <row r="30" spans="1:21" s="181" customFormat="1" ht="30" customHeight="1">
      <c r="A30" s="143"/>
      <c r="B30" s="143"/>
      <c r="C30" s="144"/>
      <c r="D30" s="144"/>
      <c r="E30" s="143"/>
      <c r="F30" s="144"/>
      <c r="G30" s="144"/>
      <c r="H30" s="143"/>
      <c r="I30" s="144"/>
      <c r="J30" s="144"/>
      <c r="K30" s="143"/>
      <c r="L30" s="144"/>
      <c r="M30" s="144"/>
      <c r="N30" s="143"/>
      <c r="O30" s="144"/>
      <c r="P30" s="144"/>
      <c r="Q30" s="143"/>
      <c r="R30" s="145"/>
      <c r="S30" s="180"/>
    </row>
    <row r="31" spans="1:21" s="181" customFormat="1" ht="30" customHeight="1">
      <c r="A31" s="146"/>
      <c r="B31" s="140"/>
      <c r="C31" s="141"/>
      <c r="D31" s="141"/>
      <c r="E31" s="140"/>
      <c r="F31" s="141"/>
      <c r="G31" s="141"/>
      <c r="H31" s="140"/>
      <c r="I31" s="141"/>
      <c r="J31" s="141"/>
      <c r="K31" s="140"/>
      <c r="L31" s="141"/>
      <c r="M31" s="141"/>
      <c r="N31" s="140"/>
      <c r="O31" s="141"/>
      <c r="P31" s="141"/>
      <c r="Q31" s="140"/>
      <c r="R31" s="156"/>
      <c r="S31" s="201"/>
    </row>
    <row r="32" spans="1:21" s="181" customFormat="1" ht="30" customHeight="1">
      <c r="A32" s="121" t="s">
        <v>61</v>
      </c>
      <c r="B32" s="147">
        <f>((B26-B29)/B29)*100</f>
        <v>16.203518124003331</v>
      </c>
      <c r="C32" s="148">
        <f t="shared" ref="C32:R32" si="2">((C26-C29)/C29)*100</f>
        <v>22.077022387776736</v>
      </c>
      <c r="D32" s="148">
        <f t="shared" si="2"/>
        <v>41.857794835623736</v>
      </c>
      <c r="E32" s="147">
        <f>((E26-E29)/E29)*100</f>
        <v>16.441675436625346</v>
      </c>
      <c r="F32" s="148">
        <f t="shared" si="2"/>
        <v>19.941719195894965</v>
      </c>
      <c r="G32" s="148">
        <f t="shared" si="2"/>
        <v>39.662147379192554</v>
      </c>
      <c r="H32" s="147">
        <f>((H26-H29)/H29)*100</f>
        <v>11.063388172379476</v>
      </c>
      <c r="I32" s="148">
        <f t="shared" si="2"/>
        <v>29.260022827354113</v>
      </c>
      <c r="J32" s="148">
        <f t="shared" si="2"/>
        <v>43.560560904450604</v>
      </c>
      <c r="K32" s="147">
        <f>((K26-K29)/K29)*100</f>
        <v>16.820422143278513</v>
      </c>
      <c r="L32" s="148">
        <f t="shared" si="2"/>
        <v>-3.0069866685161407E-2</v>
      </c>
      <c r="M32" s="148">
        <f t="shared" si="2"/>
        <v>16.785294398078996</v>
      </c>
      <c r="N32" s="147">
        <f>((N26-N29)/N29)*100</f>
        <v>13.138871658869359</v>
      </c>
      <c r="O32" s="148">
        <f t="shared" si="2"/>
        <v>16.004947889726139</v>
      </c>
      <c r="P32" s="148">
        <f t="shared" si="2"/>
        <v>31.246689110895538</v>
      </c>
      <c r="Q32" s="147">
        <f>((Q26-Q29)/Q29)*100</f>
        <v>15.581148058229942</v>
      </c>
      <c r="R32" s="203">
        <f t="shared" si="2"/>
        <v>31.484619466299474</v>
      </c>
      <c r="S32" s="148"/>
    </row>
    <row r="33" spans="1:19" s="181" customFormat="1" ht="30" customHeight="1">
      <c r="A33" s="149"/>
      <c r="B33" s="149"/>
      <c r="C33" s="150"/>
      <c r="D33" s="150"/>
      <c r="E33" s="149"/>
      <c r="F33" s="150"/>
      <c r="G33" s="150"/>
      <c r="H33" s="149"/>
      <c r="I33" s="150"/>
      <c r="J33" s="150"/>
      <c r="K33" s="149"/>
      <c r="L33" s="150"/>
      <c r="M33" s="150"/>
      <c r="N33" s="149"/>
      <c r="O33" s="150"/>
      <c r="P33" s="150"/>
      <c r="Q33" s="149"/>
      <c r="R33" s="204"/>
      <c r="S33" s="201"/>
    </row>
    <row r="34" spans="1:19" ht="30" customHeight="1">
      <c r="A34" s="140"/>
      <c r="B34" s="140"/>
      <c r="C34" s="141"/>
      <c r="D34" s="141"/>
      <c r="E34" s="140"/>
      <c r="F34" s="141"/>
      <c r="G34" s="141"/>
      <c r="H34" s="140"/>
      <c r="I34" s="141"/>
      <c r="J34" s="141"/>
      <c r="K34" s="140"/>
      <c r="L34" s="141"/>
      <c r="M34" s="141"/>
      <c r="N34" s="140"/>
      <c r="O34" s="141"/>
      <c r="P34" s="141"/>
      <c r="Q34" s="140"/>
      <c r="R34" s="156"/>
      <c r="S34" s="205"/>
    </row>
    <row r="35" spans="1:19" s="154" customFormat="1" ht="30" customHeight="1">
      <c r="A35" s="206" t="s">
        <v>62</v>
      </c>
      <c r="B35" s="151">
        <v>921729.83137742395</v>
      </c>
      <c r="C35" s="159">
        <v>863.85653751869097</v>
      </c>
      <c r="D35" s="207">
        <v>796242.34066138836</v>
      </c>
      <c r="E35" s="151">
        <v>225877.55384571719</v>
      </c>
      <c r="F35" s="159">
        <v>1016.1706804319806</v>
      </c>
      <c r="G35" s="207">
        <v>229530.14758571377</v>
      </c>
      <c r="H35" s="151">
        <v>231979.16540966844</v>
      </c>
      <c r="I35" s="207">
        <v>1790.7365096201604</v>
      </c>
      <c r="J35" s="207">
        <v>415413.5609703075</v>
      </c>
      <c r="K35" s="151">
        <v>297588.08705836016</v>
      </c>
      <c r="L35" s="207">
        <v>3478.1445194664266</v>
      </c>
      <c r="M35" s="207">
        <v>1035054.3740605332</v>
      </c>
      <c r="N35" s="151">
        <v>4966.8990964599625</v>
      </c>
      <c r="O35" s="159">
        <v>801.88485949146389</v>
      </c>
      <c r="P35" s="207">
        <v>3982.8811840730764</v>
      </c>
      <c r="Q35" s="151">
        <v>1682141.5367876296</v>
      </c>
      <c r="R35" s="208">
        <v>2480223.3044620156</v>
      </c>
      <c r="S35" s="209"/>
    </row>
    <row r="36" spans="1:19" ht="30" customHeight="1">
      <c r="A36" s="155"/>
      <c r="B36" s="155"/>
      <c r="C36" s="150"/>
      <c r="D36" s="150"/>
      <c r="E36" s="155"/>
      <c r="F36" s="150"/>
      <c r="G36" s="150"/>
      <c r="H36" s="155"/>
      <c r="I36" s="150"/>
      <c r="J36" s="150"/>
      <c r="K36" s="155"/>
      <c r="L36" s="150"/>
      <c r="M36" s="150"/>
      <c r="N36" s="155"/>
      <c r="O36" s="150"/>
      <c r="P36" s="150"/>
      <c r="Q36" s="155"/>
      <c r="R36" s="204"/>
      <c r="S36" s="157"/>
    </row>
    <row r="37" spans="1:19" ht="30" customHeight="1">
      <c r="A37" s="146"/>
      <c r="B37" s="140"/>
      <c r="C37" s="141"/>
      <c r="D37" s="141"/>
      <c r="E37" s="140"/>
      <c r="F37" s="141"/>
      <c r="G37" s="141"/>
      <c r="H37" s="140"/>
      <c r="I37" s="141"/>
      <c r="J37" s="141"/>
      <c r="K37" s="140"/>
      <c r="L37" s="141"/>
      <c r="M37" s="141"/>
      <c r="N37" s="140"/>
      <c r="O37" s="141"/>
      <c r="P37" s="141"/>
      <c r="Q37" s="140"/>
      <c r="R37" s="156"/>
      <c r="S37" s="157"/>
    </row>
    <row r="38" spans="1:19" s="154" customFormat="1" ht="30" customHeight="1">
      <c r="A38" s="206" t="s">
        <v>63</v>
      </c>
      <c r="B38" s="158">
        <f t="shared" ref="B38:R38" si="3">((B26-B35)/B35)*100</f>
        <v>10.994028295288754</v>
      </c>
      <c r="C38" s="159">
        <f t="shared" si="3"/>
        <v>29.540501465132674</v>
      </c>
      <c r="D38" s="159">
        <f t="shared" si="3"/>
        <v>43.782220850068278</v>
      </c>
      <c r="E38" s="158">
        <f t="shared" si="3"/>
        <v>23.12005321127716</v>
      </c>
      <c r="F38" s="159">
        <f t="shared" si="3"/>
        <v>33.519467014994078</v>
      </c>
      <c r="G38" s="159">
        <f t="shared" si="3"/>
        <v>64.389238836274345</v>
      </c>
      <c r="H38" s="158">
        <f t="shared" si="3"/>
        <v>23.708245338389204</v>
      </c>
      <c r="I38" s="159">
        <f t="shared" si="3"/>
        <v>48.254876452884602</v>
      </c>
      <c r="J38" s="159">
        <f t="shared" si="3"/>
        <v>83.403506288460292</v>
      </c>
      <c r="K38" s="158">
        <f t="shared" si="3"/>
        <v>35.666267515000008</v>
      </c>
      <c r="L38" s="159">
        <f t="shared" si="3"/>
        <v>-3.8809188376531587</v>
      </c>
      <c r="M38" s="159">
        <f t="shared" si="3"/>
        <v>30.401169782669445</v>
      </c>
      <c r="N38" s="158">
        <f t="shared" si="3"/>
        <v>34.332759543181183</v>
      </c>
      <c r="O38" s="159">
        <f t="shared" si="3"/>
        <v>26.363477608148244</v>
      </c>
      <c r="P38" s="159">
        <f t="shared" si="3"/>
        <v>69.74754652575534</v>
      </c>
      <c r="Q38" s="158">
        <f t="shared" si="3"/>
        <v>18.80937296924829</v>
      </c>
      <c r="R38" s="160">
        <f t="shared" si="3"/>
        <v>46.78293957999194</v>
      </c>
      <c r="S38" s="159"/>
    </row>
    <row r="39" spans="1:19" ht="30" customHeight="1">
      <c r="A39" s="149"/>
      <c r="B39" s="149"/>
      <c r="C39" s="150"/>
      <c r="D39" s="150"/>
      <c r="E39" s="149"/>
      <c r="F39" s="150"/>
      <c r="G39" s="150"/>
      <c r="H39" s="149"/>
      <c r="I39" s="150"/>
      <c r="J39" s="150"/>
      <c r="K39" s="149"/>
      <c r="L39" s="150"/>
      <c r="M39" s="150"/>
      <c r="N39" s="149"/>
      <c r="O39" s="150"/>
      <c r="P39" s="150"/>
      <c r="Q39" s="149"/>
      <c r="R39" s="204"/>
      <c r="S39" s="157"/>
    </row>
    <row r="40" spans="1:19" ht="24" thickBot="1">
      <c r="A40" s="149"/>
      <c r="B40" s="149"/>
      <c r="C40" s="150"/>
      <c r="D40" s="150"/>
      <c r="E40" s="149"/>
      <c r="F40" s="150"/>
      <c r="G40" s="150"/>
      <c r="H40" s="149"/>
      <c r="I40" s="150"/>
      <c r="J40" s="150"/>
      <c r="K40" s="149"/>
      <c r="L40" s="150"/>
      <c r="M40" s="150"/>
      <c r="N40" s="149"/>
      <c r="O40" s="150"/>
      <c r="P40" s="150"/>
      <c r="Q40" s="149"/>
      <c r="R40" s="204"/>
    </row>
    <row r="41" spans="1:19" ht="24" thickTop="1">
      <c r="A41" s="210" t="s">
        <v>64</v>
      </c>
      <c r="B41" s="211"/>
      <c r="C41" s="211"/>
      <c r="D41" s="211"/>
      <c r="E41" s="211"/>
      <c r="F41" s="211"/>
      <c r="G41" s="211"/>
      <c r="H41" s="212"/>
      <c r="I41" s="211"/>
      <c r="J41" s="211"/>
      <c r="K41" s="213"/>
      <c r="L41" s="214"/>
      <c r="M41" s="214"/>
      <c r="N41" s="215"/>
      <c r="O41" s="211"/>
      <c r="P41" s="211"/>
      <c r="Q41" s="210"/>
      <c r="R41" s="211"/>
    </row>
    <row r="44" spans="1:19" ht="23.25">
      <c r="A44" s="216"/>
      <c r="B44" s="216"/>
      <c r="C44" s="216"/>
      <c r="D44" s="216"/>
      <c r="E44" s="216"/>
      <c r="F44" s="216"/>
      <c r="G44" s="216"/>
      <c r="K44" s="217"/>
      <c r="L44" s="217"/>
      <c r="M44" s="217"/>
    </row>
    <row r="46" spans="1:19" ht="20.25">
      <c r="M46" s="219"/>
    </row>
  </sheetData>
  <mergeCells count="2">
    <mergeCell ref="E6:G6"/>
    <mergeCell ref="Q6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3"/>
  <sheetViews>
    <sheetView workbookViewId="0">
      <selection sqref="A1:XFD1048576"/>
    </sheetView>
  </sheetViews>
  <sheetFormatPr baseColWidth="10" defaultRowHeight="15"/>
  <cols>
    <col min="1" max="1" width="61.85546875" customWidth="1"/>
    <col min="2" max="2" width="18.7109375" customWidth="1"/>
    <col min="3" max="3" width="13.140625" customWidth="1"/>
    <col min="4" max="4" width="19.85546875" customWidth="1"/>
    <col min="5" max="5" width="15.42578125" customWidth="1"/>
    <col min="6" max="6" width="13.85546875" bestFit="1" customWidth="1"/>
    <col min="7" max="7" width="13.5703125" customWidth="1"/>
    <col min="8" max="8" width="17.140625" customWidth="1"/>
    <col min="9" max="9" width="11.140625" customWidth="1"/>
    <col min="10" max="10" width="17.42578125" customWidth="1"/>
    <col min="11" max="11" width="15.85546875" customWidth="1"/>
    <col min="12" max="12" width="13.42578125" customWidth="1"/>
    <col min="13" max="13" width="18.140625" customWidth="1"/>
    <col min="14" max="14" width="13.42578125" customWidth="1"/>
    <col min="15" max="15" width="13.7109375" customWidth="1"/>
    <col min="16" max="16" width="18.140625" customWidth="1"/>
    <col min="17" max="17" width="13.42578125" customWidth="1"/>
    <col min="18" max="18" width="13.28515625" customWidth="1"/>
    <col min="19" max="19" width="13.5703125" customWidth="1"/>
    <col min="257" max="257" width="72.7109375" customWidth="1"/>
    <col min="258" max="258" width="18.7109375" customWidth="1"/>
    <col min="259" max="259" width="11.140625" customWidth="1"/>
    <col min="260" max="260" width="17.85546875" customWidth="1"/>
    <col min="261" max="261" width="15.42578125" customWidth="1"/>
    <col min="262" max="262" width="11.7109375" customWidth="1"/>
    <col min="263" max="263" width="13.5703125" customWidth="1"/>
    <col min="264" max="264" width="14.85546875" customWidth="1"/>
    <col min="265" max="265" width="11.140625" customWidth="1"/>
    <col min="266" max="266" width="14.85546875" customWidth="1"/>
    <col min="267" max="267" width="15.85546875" customWidth="1"/>
    <col min="268" max="268" width="13.42578125" customWidth="1"/>
    <col min="269" max="269" width="18.140625" customWidth="1"/>
    <col min="270" max="270" width="13.42578125" customWidth="1"/>
    <col min="271" max="271" width="13.7109375" customWidth="1"/>
    <col min="272" max="272" width="18.140625" customWidth="1"/>
    <col min="273" max="273" width="13.42578125" customWidth="1"/>
    <col min="274" max="274" width="13.28515625" customWidth="1"/>
    <col min="275" max="275" width="13.5703125" customWidth="1"/>
    <col min="513" max="513" width="72.7109375" customWidth="1"/>
    <col min="514" max="514" width="18.7109375" customWidth="1"/>
    <col min="515" max="515" width="11.140625" customWidth="1"/>
    <col min="516" max="516" width="17.85546875" customWidth="1"/>
    <col min="517" max="517" width="15.42578125" customWidth="1"/>
    <col min="518" max="518" width="11.7109375" customWidth="1"/>
    <col min="519" max="519" width="13.5703125" customWidth="1"/>
    <col min="520" max="520" width="14.85546875" customWidth="1"/>
    <col min="521" max="521" width="11.140625" customWidth="1"/>
    <col min="522" max="522" width="14.85546875" customWidth="1"/>
    <col min="523" max="523" width="15.85546875" customWidth="1"/>
    <col min="524" max="524" width="13.42578125" customWidth="1"/>
    <col min="525" max="525" width="18.140625" customWidth="1"/>
    <col min="526" max="526" width="13.42578125" customWidth="1"/>
    <col min="527" max="527" width="13.7109375" customWidth="1"/>
    <col min="528" max="528" width="18.140625" customWidth="1"/>
    <col min="529" max="529" width="13.42578125" customWidth="1"/>
    <col min="530" max="530" width="13.28515625" customWidth="1"/>
    <col min="531" max="531" width="13.5703125" customWidth="1"/>
    <col min="769" max="769" width="72.7109375" customWidth="1"/>
    <col min="770" max="770" width="18.7109375" customWidth="1"/>
    <col min="771" max="771" width="11.140625" customWidth="1"/>
    <col min="772" max="772" width="17.85546875" customWidth="1"/>
    <col min="773" max="773" width="15.42578125" customWidth="1"/>
    <col min="774" max="774" width="11.7109375" customWidth="1"/>
    <col min="775" max="775" width="13.5703125" customWidth="1"/>
    <col min="776" max="776" width="14.85546875" customWidth="1"/>
    <col min="777" max="777" width="11.140625" customWidth="1"/>
    <col min="778" max="778" width="14.85546875" customWidth="1"/>
    <col min="779" max="779" width="15.85546875" customWidth="1"/>
    <col min="780" max="780" width="13.42578125" customWidth="1"/>
    <col min="781" max="781" width="18.140625" customWidth="1"/>
    <col min="782" max="782" width="13.42578125" customWidth="1"/>
    <col min="783" max="783" width="13.7109375" customWidth="1"/>
    <col min="784" max="784" width="18.140625" customWidth="1"/>
    <col min="785" max="785" width="13.42578125" customWidth="1"/>
    <col min="786" max="786" width="13.28515625" customWidth="1"/>
    <col min="787" max="787" width="13.5703125" customWidth="1"/>
    <col min="1025" max="1025" width="72.7109375" customWidth="1"/>
    <col min="1026" max="1026" width="18.7109375" customWidth="1"/>
    <col min="1027" max="1027" width="11.140625" customWidth="1"/>
    <col min="1028" max="1028" width="17.85546875" customWidth="1"/>
    <col min="1029" max="1029" width="15.42578125" customWidth="1"/>
    <col min="1030" max="1030" width="11.7109375" customWidth="1"/>
    <col min="1031" max="1031" width="13.5703125" customWidth="1"/>
    <col min="1032" max="1032" width="14.85546875" customWidth="1"/>
    <col min="1033" max="1033" width="11.140625" customWidth="1"/>
    <col min="1034" max="1034" width="14.85546875" customWidth="1"/>
    <col min="1035" max="1035" width="15.85546875" customWidth="1"/>
    <col min="1036" max="1036" width="13.42578125" customWidth="1"/>
    <col min="1037" max="1037" width="18.140625" customWidth="1"/>
    <col min="1038" max="1038" width="13.42578125" customWidth="1"/>
    <col min="1039" max="1039" width="13.7109375" customWidth="1"/>
    <col min="1040" max="1040" width="18.140625" customWidth="1"/>
    <col min="1041" max="1041" width="13.42578125" customWidth="1"/>
    <col min="1042" max="1042" width="13.28515625" customWidth="1"/>
    <col min="1043" max="1043" width="13.5703125" customWidth="1"/>
    <col min="1281" max="1281" width="72.7109375" customWidth="1"/>
    <col min="1282" max="1282" width="18.7109375" customWidth="1"/>
    <col min="1283" max="1283" width="11.140625" customWidth="1"/>
    <col min="1284" max="1284" width="17.85546875" customWidth="1"/>
    <col min="1285" max="1285" width="15.42578125" customWidth="1"/>
    <col min="1286" max="1286" width="11.7109375" customWidth="1"/>
    <col min="1287" max="1287" width="13.5703125" customWidth="1"/>
    <col min="1288" max="1288" width="14.85546875" customWidth="1"/>
    <col min="1289" max="1289" width="11.140625" customWidth="1"/>
    <col min="1290" max="1290" width="14.85546875" customWidth="1"/>
    <col min="1291" max="1291" width="15.85546875" customWidth="1"/>
    <col min="1292" max="1292" width="13.42578125" customWidth="1"/>
    <col min="1293" max="1293" width="18.140625" customWidth="1"/>
    <col min="1294" max="1294" width="13.42578125" customWidth="1"/>
    <col min="1295" max="1295" width="13.7109375" customWidth="1"/>
    <col min="1296" max="1296" width="18.140625" customWidth="1"/>
    <col min="1297" max="1297" width="13.42578125" customWidth="1"/>
    <col min="1298" max="1298" width="13.28515625" customWidth="1"/>
    <col min="1299" max="1299" width="13.5703125" customWidth="1"/>
    <col min="1537" max="1537" width="72.7109375" customWidth="1"/>
    <col min="1538" max="1538" width="18.7109375" customWidth="1"/>
    <col min="1539" max="1539" width="11.140625" customWidth="1"/>
    <col min="1540" max="1540" width="17.85546875" customWidth="1"/>
    <col min="1541" max="1541" width="15.42578125" customWidth="1"/>
    <col min="1542" max="1542" width="11.7109375" customWidth="1"/>
    <col min="1543" max="1543" width="13.5703125" customWidth="1"/>
    <col min="1544" max="1544" width="14.85546875" customWidth="1"/>
    <col min="1545" max="1545" width="11.140625" customWidth="1"/>
    <col min="1546" max="1546" width="14.85546875" customWidth="1"/>
    <col min="1547" max="1547" width="15.85546875" customWidth="1"/>
    <col min="1548" max="1548" width="13.42578125" customWidth="1"/>
    <col min="1549" max="1549" width="18.140625" customWidth="1"/>
    <col min="1550" max="1550" width="13.42578125" customWidth="1"/>
    <col min="1551" max="1551" width="13.7109375" customWidth="1"/>
    <col min="1552" max="1552" width="18.140625" customWidth="1"/>
    <col min="1553" max="1553" width="13.42578125" customWidth="1"/>
    <col min="1554" max="1554" width="13.28515625" customWidth="1"/>
    <col min="1555" max="1555" width="13.5703125" customWidth="1"/>
    <col min="1793" max="1793" width="72.7109375" customWidth="1"/>
    <col min="1794" max="1794" width="18.7109375" customWidth="1"/>
    <col min="1795" max="1795" width="11.140625" customWidth="1"/>
    <col min="1796" max="1796" width="17.85546875" customWidth="1"/>
    <col min="1797" max="1797" width="15.42578125" customWidth="1"/>
    <col min="1798" max="1798" width="11.7109375" customWidth="1"/>
    <col min="1799" max="1799" width="13.5703125" customWidth="1"/>
    <col min="1800" max="1800" width="14.85546875" customWidth="1"/>
    <col min="1801" max="1801" width="11.140625" customWidth="1"/>
    <col min="1802" max="1802" width="14.85546875" customWidth="1"/>
    <col min="1803" max="1803" width="15.85546875" customWidth="1"/>
    <col min="1804" max="1804" width="13.42578125" customWidth="1"/>
    <col min="1805" max="1805" width="18.140625" customWidth="1"/>
    <col min="1806" max="1806" width="13.42578125" customWidth="1"/>
    <col min="1807" max="1807" width="13.7109375" customWidth="1"/>
    <col min="1808" max="1808" width="18.140625" customWidth="1"/>
    <col min="1809" max="1809" width="13.42578125" customWidth="1"/>
    <col min="1810" max="1810" width="13.28515625" customWidth="1"/>
    <col min="1811" max="1811" width="13.5703125" customWidth="1"/>
    <col min="2049" max="2049" width="72.7109375" customWidth="1"/>
    <col min="2050" max="2050" width="18.7109375" customWidth="1"/>
    <col min="2051" max="2051" width="11.140625" customWidth="1"/>
    <col min="2052" max="2052" width="17.85546875" customWidth="1"/>
    <col min="2053" max="2053" width="15.42578125" customWidth="1"/>
    <col min="2054" max="2054" width="11.7109375" customWidth="1"/>
    <col min="2055" max="2055" width="13.5703125" customWidth="1"/>
    <col min="2056" max="2056" width="14.85546875" customWidth="1"/>
    <col min="2057" max="2057" width="11.140625" customWidth="1"/>
    <col min="2058" max="2058" width="14.85546875" customWidth="1"/>
    <col min="2059" max="2059" width="15.85546875" customWidth="1"/>
    <col min="2060" max="2060" width="13.42578125" customWidth="1"/>
    <col min="2061" max="2061" width="18.140625" customWidth="1"/>
    <col min="2062" max="2062" width="13.42578125" customWidth="1"/>
    <col min="2063" max="2063" width="13.7109375" customWidth="1"/>
    <col min="2064" max="2064" width="18.140625" customWidth="1"/>
    <col min="2065" max="2065" width="13.42578125" customWidth="1"/>
    <col min="2066" max="2066" width="13.28515625" customWidth="1"/>
    <col min="2067" max="2067" width="13.5703125" customWidth="1"/>
    <col min="2305" max="2305" width="72.7109375" customWidth="1"/>
    <col min="2306" max="2306" width="18.7109375" customWidth="1"/>
    <col min="2307" max="2307" width="11.140625" customWidth="1"/>
    <col min="2308" max="2308" width="17.85546875" customWidth="1"/>
    <col min="2309" max="2309" width="15.42578125" customWidth="1"/>
    <col min="2310" max="2310" width="11.7109375" customWidth="1"/>
    <col min="2311" max="2311" width="13.5703125" customWidth="1"/>
    <col min="2312" max="2312" width="14.85546875" customWidth="1"/>
    <col min="2313" max="2313" width="11.140625" customWidth="1"/>
    <col min="2314" max="2314" width="14.85546875" customWidth="1"/>
    <col min="2315" max="2315" width="15.85546875" customWidth="1"/>
    <col min="2316" max="2316" width="13.42578125" customWidth="1"/>
    <col min="2317" max="2317" width="18.140625" customWidth="1"/>
    <col min="2318" max="2318" width="13.42578125" customWidth="1"/>
    <col min="2319" max="2319" width="13.7109375" customWidth="1"/>
    <col min="2320" max="2320" width="18.140625" customWidth="1"/>
    <col min="2321" max="2321" width="13.42578125" customWidth="1"/>
    <col min="2322" max="2322" width="13.28515625" customWidth="1"/>
    <col min="2323" max="2323" width="13.5703125" customWidth="1"/>
    <col min="2561" max="2561" width="72.7109375" customWidth="1"/>
    <col min="2562" max="2562" width="18.7109375" customWidth="1"/>
    <col min="2563" max="2563" width="11.140625" customWidth="1"/>
    <col min="2564" max="2564" width="17.85546875" customWidth="1"/>
    <col min="2565" max="2565" width="15.42578125" customWidth="1"/>
    <col min="2566" max="2566" width="11.7109375" customWidth="1"/>
    <col min="2567" max="2567" width="13.5703125" customWidth="1"/>
    <col min="2568" max="2568" width="14.85546875" customWidth="1"/>
    <col min="2569" max="2569" width="11.140625" customWidth="1"/>
    <col min="2570" max="2570" width="14.85546875" customWidth="1"/>
    <col min="2571" max="2571" width="15.85546875" customWidth="1"/>
    <col min="2572" max="2572" width="13.42578125" customWidth="1"/>
    <col min="2573" max="2573" width="18.140625" customWidth="1"/>
    <col min="2574" max="2574" width="13.42578125" customWidth="1"/>
    <col min="2575" max="2575" width="13.7109375" customWidth="1"/>
    <col min="2576" max="2576" width="18.140625" customWidth="1"/>
    <col min="2577" max="2577" width="13.42578125" customWidth="1"/>
    <col min="2578" max="2578" width="13.28515625" customWidth="1"/>
    <col min="2579" max="2579" width="13.5703125" customWidth="1"/>
    <col min="2817" max="2817" width="72.7109375" customWidth="1"/>
    <col min="2818" max="2818" width="18.7109375" customWidth="1"/>
    <col min="2819" max="2819" width="11.140625" customWidth="1"/>
    <col min="2820" max="2820" width="17.85546875" customWidth="1"/>
    <col min="2821" max="2821" width="15.42578125" customWidth="1"/>
    <col min="2822" max="2822" width="11.7109375" customWidth="1"/>
    <col min="2823" max="2823" width="13.5703125" customWidth="1"/>
    <col min="2824" max="2824" width="14.85546875" customWidth="1"/>
    <col min="2825" max="2825" width="11.140625" customWidth="1"/>
    <col min="2826" max="2826" width="14.85546875" customWidth="1"/>
    <col min="2827" max="2827" width="15.85546875" customWidth="1"/>
    <col min="2828" max="2828" width="13.42578125" customWidth="1"/>
    <col min="2829" max="2829" width="18.140625" customWidth="1"/>
    <col min="2830" max="2830" width="13.42578125" customWidth="1"/>
    <col min="2831" max="2831" width="13.7109375" customWidth="1"/>
    <col min="2832" max="2832" width="18.140625" customWidth="1"/>
    <col min="2833" max="2833" width="13.42578125" customWidth="1"/>
    <col min="2834" max="2834" width="13.28515625" customWidth="1"/>
    <col min="2835" max="2835" width="13.5703125" customWidth="1"/>
    <col min="3073" max="3073" width="72.7109375" customWidth="1"/>
    <col min="3074" max="3074" width="18.7109375" customWidth="1"/>
    <col min="3075" max="3075" width="11.140625" customWidth="1"/>
    <col min="3076" max="3076" width="17.85546875" customWidth="1"/>
    <col min="3077" max="3077" width="15.42578125" customWidth="1"/>
    <col min="3078" max="3078" width="11.7109375" customWidth="1"/>
    <col min="3079" max="3079" width="13.5703125" customWidth="1"/>
    <col min="3080" max="3080" width="14.85546875" customWidth="1"/>
    <col min="3081" max="3081" width="11.140625" customWidth="1"/>
    <col min="3082" max="3082" width="14.85546875" customWidth="1"/>
    <col min="3083" max="3083" width="15.85546875" customWidth="1"/>
    <col min="3084" max="3084" width="13.42578125" customWidth="1"/>
    <col min="3085" max="3085" width="18.140625" customWidth="1"/>
    <col min="3086" max="3086" width="13.42578125" customWidth="1"/>
    <col min="3087" max="3087" width="13.7109375" customWidth="1"/>
    <col min="3088" max="3088" width="18.140625" customWidth="1"/>
    <col min="3089" max="3089" width="13.42578125" customWidth="1"/>
    <col min="3090" max="3090" width="13.28515625" customWidth="1"/>
    <col min="3091" max="3091" width="13.5703125" customWidth="1"/>
    <col min="3329" max="3329" width="72.7109375" customWidth="1"/>
    <col min="3330" max="3330" width="18.7109375" customWidth="1"/>
    <col min="3331" max="3331" width="11.140625" customWidth="1"/>
    <col min="3332" max="3332" width="17.85546875" customWidth="1"/>
    <col min="3333" max="3333" width="15.42578125" customWidth="1"/>
    <col min="3334" max="3334" width="11.7109375" customWidth="1"/>
    <col min="3335" max="3335" width="13.5703125" customWidth="1"/>
    <col min="3336" max="3336" width="14.85546875" customWidth="1"/>
    <col min="3337" max="3337" width="11.140625" customWidth="1"/>
    <col min="3338" max="3338" width="14.85546875" customWidth="1"/>
    <col min="3339" max="3339" width="15.85546875" customWidth="1"/>
    <col min="3340" max="3340" width="13.42578125" customWidth="1"/>
    <col min="3341" max="3341" width="18.140625" customWidth="1"/>
    <col min="3342" max="3342" width="13.42578125" customWidth="1"/>
    <col min="3343" max="3343" width="13.7109375" customWidth="1"/>
    <col min="3344" max="3344" width="18.140625" customWidth="1"/>
    <col min="3345" max="3345" width="13.42578125" customWidth="1"/>
    <col min="3346" max="3346" width="13.28515625" customWidth="1"/>
    <col min="3347" max="3347" width="13.5703125" customWidth="1"/>
    <col min="3585" max="3585" width="72.7109375" customWidth="1"/>
    <col min="3586" max="3586" width="18.7109375" customWidth="1"/>
    <col min="3587" max="3587" width="11.140625" customWidth="1"/>
    <col min="3588" max="3588" width="17.85546875" customWidth="1"/>
    <col min="3589" max="3589" width="15.42578125" customWidth="1"/>
    <col min="3590" max="3590" width="11.7109375" customWidth="1"/>
    <col min="3591" max="3591" width="13.5703125" customWidth="1"/>
    <col min="3592" max="3592" width="14.85546875" customWidth="1"/>
    <col min="3593" max="3593" width="11.140625" customWidth="1"/>
    <col min="3594" max="3594" width="14.85546875" customWidth="1"/>
    <col min="3595" max="3595" width="15.85546875" customWidth="1"/>
    <col min="3596" max="3596" width="13.42578125" customWidth="1"/>
    <col min="3597" max="3597" width="18.140625" customWidth="1"/>
    <col min="3598" max="3598" width="13.42578125" customWidth="1"/>
    <col min="3599" max="3599" width="13.7109375" customWidth="1"/>
    <col min="3600" max="3600" width="18.140625" customWidth="1"/>
    <col min="3601" max="3601" width="13.42578125" customWidth="1"/>
    <col min="3602" max="3602" width="13.28515625" customWidth="1"/>
    <col min="3603" max="3603" width="13.5703125" customWidth="1"/>
    <col min="3841" max="3841" width="72.7109375" customWidth="1"/>
    <col min="3842" max="3842" width="18.7109375" customWidth="1"/>
    <col min="3843" max="3843" width="11.140625" customWidth="1"/>
    <col min="3844" max="3844" width="17.85546875" customWidth="1"/>
    <col min="3845" max="3845" width="15.42578125" customWidth="1"/>
    <col min="3846" max="3846" width="11.7109375" customWidth="1"/>
    <col min="3847" max="3847" width="13.5703125" customWidth="1"/>
    <col min="3848" max="3848" width="14.85546875" customWidth="1"/>
    <col min="3849" max="3849" width="11.140625" customWidth="1"/>
    <col min="3850" max="3850" width="14.85546875" customWidth="1"/>
    <col min="3851" max="3851" width="15.85546875" customWidth="1"/>
    <col min="3852" max="3852" width="13.42578125" customWidth="1"/>
    <col min="3853" max="3853" width="18.140625" customWidth="1"/>
    <col min="3854" max="3854" width="13.42578125" customWidth="1"/>
    <col min="3855" max="3855" width="13.7109375" customWidth="1"/>
    <col min="3856" max="3856" width="18.140625" customWidth="1"/>
    <col min="3857" max="3857" width="13.42578125" customWidth="1"/>
    <col min="3858" max="3858" width="13.28515625" customWidth="1"/>
    <col min="3859" max="3859" width="13.5703125" customWidth="1"/>
    <col min="4097" max="4097" width="72.7109375" customWidth="1"/>
    <col min="4098" max="4098" width="18.7109375" customWidth="1"/>
    <col min="4099" max="4099" width="11.140625" customWidth="1"/>
    <col min="4100" max="4100" width="17.85546875" customWidth="1"/>
    <col min="4101" max="4101" width="15.42578125" customWidth="1"/>
    <col min="4102" max="4102" width="11.7109375" customWidth="1"/>
    <col min="4103" max="4103" width="13.5703125" customWidth="1"/>
    <col min="4104" max="4104" width="14.85546875" customWidth="1"/>
    <col min="4105" max="4105" width="11.140625" customWidth="1"/>
    <col min="4106" max="4106" width="14.85546875" customWidth="1"/>
    <col min="4107" max="4107" width="15.85546875" customWidth="1"/>
    <col min="4108" max="4108" width="13.42578125" customWidth="1"/>
    <col min="4109" max="4109" width="18.140625" customWidth="1"/>
    <col min="4110" max="4110" width="13.42578125" customWidth="1"/>
    <col min="4111" max="4111" width="13.7109375" customWidth="1"/>
    <col min="4112" max="4112" width="18.140625" customWidth="1"/>
    <col min="4113" max="4113" width="13.42578125" customWidth="1"/>
    <col min="4114" max="4114" width="13.28515625" customWidth="1"/>
    <col min="4115" max="4115" width="13.5703125" customWidth="1"/>
    <col min="4353" max="4353" width="72.7109375" customWidth="1"/>
    <col min="4354" max="4354" width="18.7109375" customWidth="1"/>
    <col min="4355" max="4355" width="11.140625" customWidth="1"/>
    <col min="4356" max="4356" width="17.85546875" customWidth="1"/>
    <col min="4357" max="4357" width="15.42578125" customWidth="1"/>
    <col min="4358" max="4358" width="11.7109375" customWidth="1"/>
    <col min="4359" max="4359" width="13.5703125" customWidth="1"/>
    <col min="4360" max="4360" width="14.85546875" customWidth="1"/>
    <col min="4361" max="4361" width="11.140625" customWidth="1"/>
    <col min="4362" max="4362" width="14.85546875" customWidth="1"/>
    <col min="4363" max="4363" width="15.85546875" customWidth="1"/>
    <col min="4364" max="4364" width="13.42578125" customWidth="1"/>
    <col min="4365" max="4365" width="18.140625" customWidth="1"/>
    <col min="4366" max="4366" width="13.42578125" customWidth="1"/>
    <col min="4367" max="4367" width="13.7109375" customWidth="1"/>
    <col min="4368" max="4368" width="18.140625" customWidth="1"/>
    <col min="4369" max="4369" width="13.42578125" customWidth="1"/>
    <col min="4370" max="4370" width="13.28515625" customWidth="1"/>
    <col min="4371" max="4371" width="13.5703125" customWidth="1"/>
    <col min="4609" max="4609" width="72.7109375" customWidth="1"/>
    <col min="4610" max="4610" width="18.7109375" customWidth="1"/>
    <col min="4611" max="4611" width="11.140625" customWidth="1"/>
    <col min="4612" max="4612" width="17.85546875" customWidth="1"/>
    <col min="4613" max="4613" width="15.42578125" customWidth="1"/>
    <col min="4614" max="4614" width="11.7109375" customWidth="1"/>
    <col min="4615" max="4615" width="13.5703125" customWidth="1"/>
    <col min="4616" max="4616" width="14.85546875" customWidth="1"/>
    <col min="4617" max="4617" width="11.140625" customWidth="1"/>
    <col min="4618" max="4618" width="14.85546875" customWidth="1"/>
    <col min="4619" max="4619" width="15.85546875" customWidth="1"/>
    <col min="4620" max="4620" width="13.42578125" customWidth="1"/>
    <col min="4621" max="4621" width="18.140625" customWidth="1"/>
    <col min="4622" max="4622" width="13.42578125" customWidth="1"/>
    <col min="4623" max="4623" width="13.7109375" customWidth="1"/>
    <col min="4624" max="4624" width="18.140625" customWidth="1"/>
    <col min="4625" max="4625" width="13.42578125" customWidth="1"/>
    <col min="4626" max="4626" width="13.28515625" customWidth="1"/>
    <col min="4627" max="4627" width="13.5703125" customWidth="1"/>
    <col min="4865" max="4865" width="72.7109375" customWidth="1"/>
    <col min="4866" max="4866" width="18.7109375" customWidth="1"/>
    <col min="4867" max="4867" width="11.140625" customWidth="1"/>
    <col min="4868" max="4868" width="17.85546875" customWidth="1"/>
    <col min="4869" max="4869" width="15.42578125" customWidth="1"/>
    <col min="4870" max="4870" width="11.7109375" customWidth="1"/>
    <col min="4871" max="4871" width="13.5703125" customWidth="1"/>
    <col min="4872" max="4872" width="14.85546875" customWidth="1"/>
    <col min="4873" max="4873" width="11.140625" customWidth="1"/>
    <col min="4874" max="4874" width="14.85546875" customWidth="1"/>
    <col min="4875" max="4875" width="15.85546875" customWidth="1"/>
    <col min="4876" max="4876" width="13.42578125" customWidth="1"/>
    <col min="4877" max="4877" width="18.140625" customWidth="1"/>
    <col min="4878" max="4878" width="13.42578125" customWidth="1"/>
    <col min="4879" max="4879" width="13.7109375" customWidth="1"/>
    <col min="4880" max="4880" width="18.140625" customWidth="1"/>
    <col min="4881" max="4881" width="13.42578125" customWidth="1"/>
    <col min="4882" max="4882" width="13.28515625" customWidth="1"/>
    <col min="4883" max="4883" width="13.5703125" customWidth="1"/>
    <col min="5121" max="5121" width="72.7109375" customWidth="1"/>
    <col min="5122" max="5122" width="18.7109375" customWidth="1"/>
    <col min="5123" max="5123" width="11.140625" customWidth="1"/>
    <col min="5124" max="5124" width="17.85546875" customWidth="1"/>
    <col min="5125" max="5125" width="15.42578125" customWidth="1"/>
    <col min="5126" max="5126" width="11.7109375" customWidth="1"/>
    <col min="5127" max="5127" width="13.5703125" customWidth="1"/>
    <col min="5128" max="5128" width="14.85546875" customWidth="1"/>
    <col min="5129" max="5129" width="11.140625" customWidth="1"/>
    <col min="5130" max="5130" width="14.85546875" customWidth="1"/>
    <col min="5131" max="5131" width="15.85546875" customWidth="1"/>
    <col min="5132" max="5132" width="13.42578125" customWidth="1"/>
    <col min="5133" max="5133" width="18.140625" customWidth="1"/>
    <col min="5134" max="5134" width="13.42578125" customWidth="1"/>
    <col min="5135" max="5135" width="13.7109375" customWidth="1"/>
    <col min="5136" max="5136" width="18.140625" customWidth="1"/>
    <col min="5137" max="5137" width="13.42578125" customWidth="1"/>
    <col min="5138" max="5138" width="13.28515625" customWidth="1"/>
    <col min="5139" max="5139" width="13.5703125" customWidth="1"/>
    <col min="5377" max="5377" width="72.7109375" customWidth="1"/>
    <col min="5378" max="5378" width="18.7109375" customWidth="1"/>
    <col min="5379" max="5379" width="11.140625" customWidth="1"/>
    <col min="5380" max="5380" width="17.85546875" customWidth="1"/>
    <col min="5381" max="5381" width="15.42578125" customWidth="1"/>
    <col min="5382" max="5382" width="11.7109375" customWidth="1"/>
    <col min="5383" max="5383" width="13.5703125" customWidth="1"/>
    <col min="5384" max="5384" width="14.85546875" customWidth="1"/>
    <col min="5385" max="5385" width="11.140625" customWidth="1"/>
    <col min="5386" max="5386" width="14.85546875" customWidth="1"/>
    <col min="5387" max="5387" width="15.85546875" customWidth="1"/>
    <col min="5388" max="5388" width="13.42578125" customWidth="1"/>
    <col min="5389" max="5389" width="18.140625" customWidth="1"/>
    <col min="5390" max="5390" width="13.42578125" customWidth="1"/>
    <col min="5391" max="5391" width="13.7109375" customWidth="1"/>
    <col min="5392" max="5392" width="18.140625" customWidth="1"/>
    <col min="5393" max="5393" width="13.42578125" customWidth="1"/>
    <col min="5394" max="5394" width="13.28515625" customWidth="1"/>
    <col min="5395" max="5395" width="13.5703125" customWidth="1"/>
    <col min="5633" max="5633" width="72.7109375" customWidth="1"/>
    <col min="5634" max="5634" width="18.7109375" customWidth="1"/>
    <col min="5635" max="5635" width="11.140625" customWidth="1"/>
    <col min="5636" max="5636" width="17.85546875" customWidth="1"/>
    <col min="5637" max="5637" width="15.42578125" customWidth="1"/>
    <col min="5638" max="5638" width="11.7109375" customWidth="1"/>
    <col min="5639" max="5639" width="13.5703125" customWidth="1"/>
    <col min="5640" max="5640" width="14.85546875" customWidth="1"/>
    <col min="5641" max="5641" width="11.140625" customWidth="1"/>
    <col min="5642" max="5642" width="14.85546875" customWidth="1"/>
    <col min="5643" max="5643" width="15.85546875" customWidth="1"/>
    <col min="5644" max="5644" width="13.42578125" customWidth="1"/>
    <col min="5645" max="5645" width="18.140625" customWidth="1"/>
    <col min="5646" max="5646" width="13.42578125" customWidth="1"/>
    <col min="5647" max="5647" width="13.7109375" customWidth="1"/>
    <col min="5648" max="5648" width="18.140625" customWidth="1"/>
    <col min="5649" max="5649" width="13.42578125" customWidth="1"/>
    <col min="5650" max="5650" width="13.28515625" customWidth="1"/>
    <col min="5651" max="5651" width="13.5703125" customWidth="1"/>
    <col min="5889" max="5889" width="72.7109375" customWidth="1"/>
    <col min="5890" max="5890" width="18.7109375" customWidth="1"/>
    <col min="5891" max="5891" width="11.140625" customWidth="1"/>
    <col min="5892" max="5892" width="17.85546875" customWidth="1"/>
    <col min="5893" max="5893" width="15.42578125" customWidth="1"/>
    <col min="5894" max="5894" width="11.7109375" customWidth="1"/>
    <col min="5895" max="5895" width="13.5703125" customWidth="1"/>
    <col min="5896" max="5896" width="14.85546875" customWidth="1"/>
    <col min="5897" max="5897" width="11.140625" customWidth="1"/>
    <col min="5898" max="5898" width="14.85546875" customWidth="1"/>
    <col min="5899" max="5899" width="15.85546875" customWidth="1"/>
    <col min="5900" max="5900" width="13.42578125" customWidth="1"/>
    <col min="5901" max="5901" width="18.140625" customWidth="1"/>
    <col min="5902" max="5902" width="13.42578125" customWidth="1"/>
    <col min="5903" max="5903" width="13.7109375" customWidth="1"/>
    <col min="5904" max="5904" width="18.140625" customWidth="1"/>
    <col min="5905" max="5905" width="13.42578125" customWidth="1"/>
    <col min="5906" max="5906" width="13.28515625" customWidth="1"/>
    <col min="5907" max="5907" width="13.5703125" customWidth="1"/>
    <col min="6145" max="6145" width="72.7109375" customWidth="1"/>
    <col min="6146" max="6146" width="18.7109375" customWidth="1"/>
    <col min="6147" max="6147" width="11.140625" customWidth="1"/>
    <col min="6148" max="6148" width="17.85546875" customWidth="1"/>
    <col min="6149" max="6149" width="15.42578125" customWidth="1"/>
    <col min="6150" max="6150" width="11.7109375" customWidth="1"/>
    <col min="6151" max="6151" width="13.5703125" customWidth="1"/>
    <col min="6152" max="6152" width="14.85546875" customWidth="1"/>
    <col min="6153" max="6153" width="11.140625" customWidth="1"/>
    <col min="6154" max="6154" width="14.85546875" customWidth="1"/>
    <col min="6155" max="6155" width="15.85546875" customWidth="1"/>
    <col min="6156" max="6156" width="13.42578125" customWidth="1"/>
    <col min="6157" max="6157" width="18.140625" customWidth="1"/>
    <col min="6158" max="6158" width="13.42578125" customWidth="1"/>
    <col min="6159" max="6159" width="13.7109375" customWidth="1"/>
    <col min="6160" max="6160" width="18.140625" customWidth="1"/>
    <col min="6161" max="6161" width="13.42578125" customWidth="1"/>
    <col min="6162" max="6162" width="13.28515625" customWidth="1"/>
    <col min="6163" max="6163" width="13.5703125" customWidth="1"/>
    <col min="6401" max="6401" width="72.7109375" customWidth="1"/>
    <col min="6402" max="6402" width="18.7109375" customWidth="1"/>
    <col min="6403" max="6403" width="11.140625" customWidth="1"/>
    <col min="6404" max="6404" width="17.85546875" customWidth="1"/>
    <col min="6405" max="6405" width="15.42578125" customWidth="1"/>
    <col min="6406" max="6406" width="11.7109375" customWidth="1"/>
    <col min="6407" max="6407" width="13.5703125" customWidth="1"/>
    <col min="6408" max="6408" width="14.85546875" customWidth="1"/>
    <col min="6409" max="6409" width="11.140625" customWidth="1"/>
    <col min="6410" max="6410" width="14.85546875" customWidth="1"/>
    <col min="6411" max="6411" width="15.85546875" customWidth="1"/>
    <col min="6412" max="6412" width="13.42578125" customWidth="1"/>
    <col min="6413" max="6413" width="18.140625" customWidth="1"/>
    <col min="6414" max="6414" width="13.42578125" customWidth="1"/>
    <col min="6415" max="6415" width="13.7109375" customWidth="1"/>
    <col min="6416" max="6416" width="18.140625" customWidth="1"/>
    <col min="6417" max="6417" width="13.42578125" customWidth="1"/>
    <col min="6418" max="6418" width="13.28515625" customWidth="1"/>
    <col min="6419" max="6419" width="13.5703125" customWidth="1"/>
    <col min="6657" max="6657" width="72.7109375" customWidth="1"/>
    <col min="6658" max="6658" width="18.7109375" customWidth="1"/>
    <col min="6659" max="6659" width="11.140625" customWidth="1"/>
    <col min="6660" max="6660" width="17.85546875" customWidth="1"/>
    <col min="6661" max="6661" width="15.42578125" customWidth="1"/>
    <col min="6662" max="6662" width="11.7109375" customWidth="1"/>
    <col min="6663" max="6663" width="13.5703125" customWidth="1"/>
    <col min="6664" max="6664" width="14.85546875" customWidth="1"/>
    <col min="6665" max="6665" width="11.140625" customWidth="1"/>
    <col min="6666" max="6666" width="14.85546875" customWidth="1"/>
    <col min="6667" max="6667" width="15.85546875" customWidth="1"/>
    <col min="6668" max="6668" width="13.42578125" customWidth="1"/>
    <col min="6669" max="6669" width="18.140625" customWidth="1"/>
    <col min="6670" max="6670" width="13.42578125" customWidth="1"/>
    <col min="6671" max="6671" width="13.7109375" customWidth="1"/>
    <col min="6672" max="6672" width="18.140625" customWidth="1"/>
    <col min="6673" max="6673" width="13.42578125" customWidth="1"/>
    <col min="6674" max="6674" width="13.28515625" customWidth="1"/>
    <col min="6675" max="6675" width="13.5703125" customWidth="1"/>
    <col min="6913" max="6913" width="72.7109375" customWidth="1"/>
    <col min="6914" max="6914" width="18.7109375" customWidth="1"/>
    <col min="6915" max="6915" width="11.140625" customWidth="1"/>
    <col min="6916" max="6916" width="17.85546875" customWidth="1"/>
    <col min="6917" max="6917" width="15.42578125" customWidth="1"/>
    <col min="6918" max="6918" width="11.7109375" customWidth="1"/>
    <col min="6919" max="6919" width="13.5703125" customWidth="1"/>
    <col min="6920" max="6920" width="14.85546875" customWidth="1"/>
    <col min="6921" max="6921" width="11.140625" customWidth="1"/>
    <col min="6922" max="6922" width="14.85546875" customWidth="1"/>
    <col min="6923" max="6923" width="15.85546875" customWidth="1"/>
    <col min="6924" max="6924" width="13.42578125" customWidth="1"/>
    <col min="6925" max="6925" width="18.140625" customWidth="1"/>
    <col min="6926" max="6926" width="13.42578125" customWidth="1"/>
    <col min="6927" max="6927" width="13.7109375" customWidth="1"/>
    <col min="6928" max="6928" width="18.140625" customWidth="1"/>
    <col min="6929" max="6929" width="13.42578125" customWidth="1"/>
    <col min="6930" max="6930" width="13.28515625" customWidth="1"/>
    <col min="6931" max="6931" width="13.5703125" customWidth="1"/>
    <col min="7169" max="7169" width="72.7109375" customWidth="1"/>
    <col min="7170" max="7170" width="18.7109375" customWidth="1"/>
    <col min="7171" max="7171" width="11.140625" customWidth="1"/>
    <col min="7172" max="7172" width="17.85546875" customWidth="1"/>
    <col min="7173" max="7173" width="15.42578125" customWidth="1"/>
    <col min="7174" max="7174" width="11.7109375" customWidth="1"/>
    <col min="7175" max="7175" width="13.5703125" customWidth="1"/>
    <col min="7176" max="7176" width="14.85546875" customWidth="1"/>
    <col min="7177" max="7177" width="11.140625" customWidth="1"/>
    <col min="7178" max="7178" width="14.85546875" customWidth="1"/>
    <col min="7179" max="7179" width="15.85546875" customWidth="1"/>
    <col min="7180" max="7180" width="13.42578125" customWidth="1"/>
    <col min="7181" max="7181" width="18.140625" customWidth="1"/>
    <col min="7182" max="7182" width="13.42578125" customWidth="1"/>
    <col min="7183" max="7183" width="13.7109375" customWidth="1"/>
    <col min="7184" max="7184" width="18.140625" customWidth="1"/>
    <col min="7185" max="7185" width="13.42578125" customWidth="1"/>
    <col min="7186" max="7186" width="13.28515625" customWidth="1"/>
    <col min="7187" max="7187" width="13.5703125" customWidth="1"/>
    <col min="7425" max="7425" width="72.7109375" customWidth="1"/>
    <col min="7426" max="7426" width="18.7109375" customWidth="1"/>
    <col min="7427" max="7427" width="11.140625" customWidth="1"/>
    <col min="7428" max="7428" width="17.85546875" customWidth="1"/>
    <col min="7429" max="7429" width="15.42578125" customWidth="1"/>
    <col min="7430" max="7430" width="11.7109375" customWidth="1"/>
    <col min="7431" max="7431" width="13.5703125" customWidth="1"/>
    <col min="7432" max="7432" width="14.85546875" customWidth="1"/>
    <col min="7433" max="7433" width="11.140625" customWidth="1"/>
    <col min="7434" max="7434" width="14.85546875" customWidth="1"/>
    <col min="7435" max="7435" width="15.85546875" customWidth="1"/>
    <col min="7436" max="7436" width="13.42578125" customWidth="1"/>
    <col min="7437" max="7437" width="18.140625" customWidth="1"/>
    <col min="7438" max="7438" width="13.42578125" customWidth="1"/>
    <col min="7439" max="7439" width="13.7109375" customWidth="1"/>
    <col min="7440" max="7440" width="18.140625" customWidth="1"/>
    <col min="7441" max="7441" width="13.42578125" customWidth="1"/>
    <col min="7442" max="7442" width="13.28515625" customWidth="1"/>
    <col min="7443" max="7443" width="13.5703125" customWidth="1"/>
    <col min="7681" max="7681" width="72.7109375" customWidth="1"/>
    <col min="7682" max="7682" width="18.7109375" customWidth="1"/>
    <col min="7683" max="7683" width="11.140625" customWidth="1"/>
    <col min="7684" max="7684" width="17.85546875" customWidth="1"/>
    <col min="7685" max="7685" width="15.42578125" customWidth="1"/>
    <col min="7686" max="7686" width="11.7109375" customWidth="1"/>
    <col min="7687" max="7687" width="13.5703125" customWidth="1"/>
    <col min="7688" max="7688" width="14.85546875" customWidth="1"/>
    <col min="7689" max="7689" width="11.140625" customWidth="1"/>
    <col min="7690" max="7690" width="14.85546875" customWidth="1"/>
    <col min="7691" max="7691" width="15.85546875" customWidth="1"/>
    <col min="7692" max="7692" width="13.42578125" customWidth="1"/>
    <col min="7693" max="7693" width="18.140625" customWidth="1"/>
    <col min="7694" max="7694" width="13.42578125" customWidth="1"/>
    <col min="7695" max="7695" width="13.7109375" customWidth="1"/>
    <col min="7696" max="7696" width="18.140625" customWidth="1"/>
    <col min="7697" max="7697" width="13.42578125" customWidth="1"/>
    <col min="7698" max="7698" width="13.28515625" customWidth="1"/>
    <col min="7699" max="7699" width="13.5703125" customWidth="1"/>
    <col min="7937" max="7937" width="72.7109375" customWidth="1"/>
    <col min="7938" max="7938" width="18.7109375" customWidth="1"/>
    <col min="7939" max="7939" width="11.140625" customWidth="1"/>
    <col min="7940" max="7940" width="17.85546875" customWidth="1"/>
    <col min="7941" max="7941" width="15.42578125" customWidth="1"/>
    <col min="7942" max="7942" width="11.7109375" customWidth="1"/>
    <col min="7943" max="7943" width="13.5703125" customWidth="1"/>
    <col min="7944" max="7944" width="14.85546875" customWidth="1"/>
    <col min="7945" max="7945" width="11.140625" customWidth="1"/>
    <col min="7946" max="7946" width="14.85546875" customWidth="1"/>
    <col min="7947" max="7947" width="15.85546875" customWidth="1"/>
    <col min="7948" max="7948" width="13.42578125" customWidth="1"/>
    <col min="7949" max="7949" width="18.140625" customWidth="1"/>
    <col min="7950" max="7950" width="13.42578125" customWidth="1"/>
    <col min="7951" max="7951" width="13.7109375" customWidth="1"/>
    <col min="7952" max="7952" width="18.140625" customWidth="1"/>
    <col min="7953" max="7953" width="13.42578125" customWidth="1"/>
    <col min="7954" max="7954" width="13.28515625" customWidth="1"/>
    <col min="7955" max="7955" width="13.5703125" customWidth="1"/>
    <col min="8193" max="8193" width="72.7109375" customWidth="1"/>
    <col min="8194" max="8194" width="18.7109375" customWidth="1"/>
    <col min="8195" max="8195" width="11.140625" customWidth="1"/>
    <col min="8196" max="8196" width="17.85546875" customWidth="1"/>
    <col min="8197" max="8197" width="15.42578125" customWidth="1"/>
    <col min="8198" max="8198" width="11.7109375" customWidth="1"/>
    <col min="8199" max="8199" width="13.5703125" customWidth="1"/>
    <col min="8200" max="8200" width="14.85546875" customWidth="1"/>
    <col min="8201" max="8201" width="11.140625" customWidth="1"/>
    <col min="8202" max="8202" width="14.85546875" customWidth="1"/>
    <col min="8203" max="8203" width="15.85546875" customWidth="1"/>
    <col min="8204" max="8204" width="13.42578125" customWidth="1"/>
    <col min="8205" max="8205" width="18.140625" customWidth="1"/>
    <col min="8206" max="8206" width="13.42578125" customWidth="1"/>
    <col min="8207" max="8207" width="13.7109375" customWidth="1"/>
    <col min="8208" max="8208" width="18.140625" customWidth="1"/>
    <col min="8209" max="8209" width="13.42578125" customWidth="1"/>
    <col min="8210" max="8210" width="13.28515625" customWidth="1"/>
    <col min="8211" max="8211" width="13.5703125" customWidth="1"/>
    <col min="8449" max="8449" width="72.7109375" customWidth="1"/>
    <col min="8450" max="8450" width="18.7109375" customWidth="1"/>
    <col min="8451" max="8451" width="11.140625" customWidth="1"/>
    <col min="8452" max="8452" width="17.85546875" customWidth="1"/>
    <col min="8453" max="8453" width="15.42578125" customWidth="1"/>
    <col min="8454" max="8454" width="11.7109375" customWidth="1"/>
    <col min="8455" max="8455" width="13.5703125" customWidth="1"/>
    <col min="8456" max="8456" width="14.85546875" customWidth="1"/>
    <col min="8457" max="8457" width="11.140625" customWidth="1"/>
    <col min="8458" max="8458" width="14.85546875" customWidth="1"/>
    <col min="8459" max="8459" width="15.85546875" customWidth="1"/>
    <col min="8460" max="8460" width="13.42578125" customWidth="1"/>
    <col min="8461" max="8461" width="18.140625" customWidth="1"/>
    <col min="8462" max="8462" width="13.42578125" customWidth="1"/>
    <col min="8463" max="8463" width="13.7109375" customWidth="1"/>
    <col min="8464" max="8464" width="18.140625" customWidth="1"/>
    <col min="8465" max="8465" width="13.42578125" customWidth="1"/>
    <col min="8466" max="8466" width="13.28515625" customWidth="1"/>
    <col min="8467" max="8467" width="13.5703125" customWidth="1"/>
    <col min="8705" max="8705" width="72.7109375" customWidth="1"/>
    <col min="8706" max="8706" width="18.7109375" customWidth="1"/>
    <col min="8707" max="8707" width="11.140625" customWidth="1"/>
    <col min="8708" max="8708" width="17.85546875" customWidth="1"/>
    <col min="8709" max="8709" width="15.42578125" customWidth="1"/>
    <col min="8710" max="8710" width="11.7109375" customWidth="1"/>
    <col min="8711" max="8711" width="13.5703125" customWidth="1"/>
    <col min="8712" max="8712" width="14.85546875" customWidth="1"/>
    <col min="8713" max="8713" width="11.140625" customWidth="1"/>
    <col min="8714" max="8714" width="14.85546875" customWidth="1"/>
    <col min="8715" max="8715" width="15.85546875" customWidth="1"/>
    <col min="8716" max="8716" width="13.42578125" customWidth="1"/>
    <col min="8717" max="8717" width="18.140625" customWidth="1"/>
    <col min="8718" max="8718" width="13.42578125" customWidth="1"/>
    <col min="8719" max="8719" width="13.7109375" customWidth="1"/>
    <col min="8720" max="8720" width="18.140625" customWidth="1"/>
    <col min="8721" max="8721" width="13.42578125" customWidth="1"/>
    <col min="8722" max="8722" width="13.28515625" customWidth="1"/>
    <col min="8723" max="8723" width="13.5703125" customWidth="1"/>
    <col min="8961" max="8961" width="72.7109375" customWidth="1"/>
    <col min="8962" max="8962" width="18.7109375" customWidth="1"/>
    <col min="8963" max="8963" width="11.140625" customWidth="1"/>
    <col min="8964" max="8964" width="17.85546875" customWidth="1"/>
    <col min="8965" max="8965" width="15.42578125" customWidth="1"/>
    <col min="8966" max="8966" width="11.7109375" customWidth="1"/>
    <col min="8967" max="8967" width="13.5703125" customWidth="1"/>
    <col min="8968" max="8968" width="14.85546875" customWidth="1"/>
    <col min="8969" max="8969" width="11.140625" customWidth="1"/>
    <col min="8970" max="8970" width="14.85546875" customWidth="1"/>
    <col min="8971" max="8971" width="15.85546875" customWidth="1"/>
    <col min="8972" max="8972" width="13.42578125" customWidth="1"/>
    <col min="8973" max="8973" width="18.140625" customWidth="1"/>
    <col min="8974" max="8974" width="13.42578125" customWidth="1"/>
    <col min="8975" max="8975" width="13.7109375" customWidth="1"/>
    <col min="8976" max="8976" width="18.140625" customWidth="1"/>
    <col min="8977" max="8977" width="13.42578125" customWidth="1"/>
    <col min="8978" max="8978" width="13.28515625" customWidth="1"/>
    <col min="8979" max="8979" width="13.5703125" customWidth="1"/>
    <col min="9217" max="9217" width="72.7109375" customWidth="1"/>
    <col min="9218" max="9218" width="18.7109375" customWidth="1"/>
    <col min="9219" max="9219" width="11.140625" customWidth="1"/>
    <col min="9220" max="9220" width="17.85546875" customWidth="1"/>
    <col min="9221" max="9221" width="15.42578125" customWidth="1"/>
    <col min="9222" max="9222" width="11.7109375" customWidth="1"/>
    <col min="9223" max="9223" width="13.5703125" customWidth="1"/>
    <col min="9224" max="9224" width="14.85546875" customWidth="1"/>
    <col min="9225" max="9225" width="11.140625" customWidth="1"/>
    <col min="9226" max="9226" width="14.85546875" customWidth="1"/>
    <col min="9227" max="9227" width="15.85546875" customWidth="1"/>
    <col min="9228" max="9228" width="13.42578125" customWidth="1"/>
    <col min="9229" max="9229" width="18.140625" customWidth="1"/>
    <col min="9230" max="9230" width="13.42578125" customWidth="1"/>
    <col min="9231" max="9231" width="13.7109375" customWidth="1"/>
    <col min="9232" max="9232" width="18.140625" customWidth="1"/>
    <col min="9233" max="9233" width="13.42578125" customWidth="1"/>
    <col min="9234" max="9234" width="13.28515625" customWidth="1"/>
    <col min="9235" max="9235" width="13.5703125" customWidth="1"/>
    <col min="9473" max="9473" width="72.7109375" customWidth="1"/>
    <col min="9474" max="9474" width="18.7109375" customWidth="1"/>
    <col min="9475" max="9475" width="11.140625" customWidth="1"/>
    <col min="9476" max="9476" width="17.85546875" customWidth="1"/>
    <col min="9477" max="9477" width="15.42578125" customWidth="1"/>
    <col min="9478" max="9478" width="11.7109375" customWidth="1"/>
    <col min="9479" max="9479" width="13.5703125" customWidth="1"/>
    <col min="9480" max="9480" width="14.85546875" customWidth="1"/>
    <col min="9481" max="9481" width="11.140625" customWidth="1"/>
    <col min="9482" max="9482" width="14.85546875" customWidth="1"/>
    <col min="9483" max="9483" width="15.85546875" customWidth="1"/>
    <col min="9484" max="9484" width="13.42578125" customWidth="1"/>
    <col min="9485" max="9485" width="18.140625" customWidth="1"/>
    <col min="9486" max="9486" width="13.42578125" customWidth="1"/>
    <col min="9487" max="9487" width="13.7109375" customWidth="1"/>
    <col min="9488" max="9488" width="18.140625" customWidth="1"/>
    <col min="9489" max="9489" width="13.42578125" customWidth="1"/>
    <col min="9490" max="9490" width="13.28515625" customWidth="1"/>
    <col min="9491" max="9491" width="13.5703125" customWidth="1"/>
    <col min="9729" max="9729" width="72.7109375" customWidth="1"/>
    <col min="9730" max="9730" width="18.7109375" customWidth="1"/>
    <col min="9731" max="9731" width="11.140625" customWidth="1"/>
    <col min="9732" max="9732" width="17.85546875" customWidth="1"/>
    <col min="9733" max="9733" width="15.42578125" customWidth="1"/>
    <col min="9734" max="9734" width="11.7109375" customWidth="1"/>
    <col min="9735" max="9735" width="13.5703125" customWidth="1"/>
    <col min="9736" max="9736" width="14.85546875" customWidth="1"/>
    <col min="9737" max="9737" width="11.140625" customWidth="1"/>
    <col min="9738" max="9738" width="14.85546875" customWidth="1"/>
    <col min="9739" max="9739" width="15.85546875" customWidth="1"/>
    <col min="9740" max="9740" width="13.42578125" customWidth="1"/>
    <col min="9741" max="9741" width="18.140625" customWidth="1"/>
    <col min="9742" max="9742" width="13.42578125" customWidth="1"/>
    <col min="9743" max="9743" width="13.7109375" customWidth="1"/>
    <col min="9744" max="9744" width="18.140625" customWidth="1"/>
    <col min="9745" max="9745" width="13.42578125" customWidth="1"/>
    <col min="9746" max="9746" width="13.28515625" customWidth="1"/>
    <col min="9747" max="9747" width="13.5703125" customWidth="1"/>
    <col min="9985" max="9985" width="72.7109375" customWidth="1"/>
    <col min="9986" max="9986" width="18.7109375" customWidth="1"/>
    <col min="9987" max="9987" width="11.140625" customWidth="1"/>
    <col min="9988" max="9988" width="17.85546875" customWidth="1"/>
    <col min="9989" max="9989" width="15.42578125" customWidth="1"/>
    <col min="9990" max="9990" width="11.7109375" customWidth="1"/>
    <col min="9991" max="9991" width="13.5703125" customWidth="1"/>
    <col min="9992" max="9992" width="14.85546875" customWidth="1"/>
    <col min="9993" max="9993" width="11.140625" customWidth="1"/>
    <col min="9994" max="9994" width="14.85546875" customWidth="1"/>
    <col min="9995" max="9995" width="15.85546875" customWidth="1"/>
    <col min="9996" max="9996" width="13.42578125" customWidth="1"/>
    <col min="9997" max="9997" width="18.140625" customWidth="1"/>
    <col min="9998" max="9998" width="13.42578125" customWidth="1"/>
    <col min="9999" max="9999" width="13.7109375" customWidth="1"/>
    <col min="10000" max="10000" width="18.140625" customWidth="1"/>
    <col min="10001" max="10001" width="13.42578125" customWidth="1"/>
    <col min="10002" max="10002" width="13.28515625" customWidth="1"/>
    <col min="10003" max="10003" width="13.5703125" customWidth="1"/>
    <col min="10241" max="10241" width="72.7109375" customWidth="1"/>
    <col min="10242" max="10242" width="18.7109375" customWidth="1"/>
    <col min="10243" max="10243" width="11.140625" customWidth="1"/>
    <col min="10244" max="10244" width="17.85546875" customWidth="1"/>
    <col min="10245" max="10245" width="15.42578125" customWidth="1"/>
    <col min="10246" max="10246" width="11.7109375" customWidth="1"/>
    <col min="10247" max="10247" width="13.5703125" customWidth="1"/>
    <col min="10248" max="10248" width="14.85546875" customWidth="1"/>
    <col min="10249" max="10249" width="11.140625" customWidth="1"/>
    <col min="10250" max="10250" width="14.85546875" customWidth="1"/>
    <col min="10251" max="10251" width="15.85546875" customWidth="1"/>
    <col min="10252" max="10252" width="13.42578125" customWidth="1"/>
    <col min="10253" max="10253" width="18.140625" customWidth="1"/>
    <col min="10254" max="10254" width="13.42578125" customWidth="1"/>
    <col min="10255" max="10255" width="13.7109375" customWidth="1"/>
    <col min="10256" max="10256" width="18.140625" customWidth="1"/>
    <col min="10257" max="10257" width="13.42578125" customWidth="1"/>
    <col min="10258" max="10258" width="13.28515625" customWidth="1"/>
    <col min="10259" max="10259" width="13.5703125" customWidth="1"/>
    <col min="10497" max="10497" width="72.7109375" customWidth="1"/>
    <col min="10498" max="10498" width="18.7109375" customWidth="1"/>
    <col min="10499" max="10499" width="11.140625" customWidth="1"/>
    <col min="10500" max="10500" width="17.85546875" customWidth="1"/>
    <col min="10501" max="10501" width="15.42578125" customWidth="1"/>
    <col min="10502" max="10502" width="11.7109375" customWidth="1"/>
    <col min="10503" max="10503" width="13.5703125" customWidth="1"/>
    <col min="10504" max="10504" width="14.85546875" customWidth="1"/>
    <col min="10505" max="10505" width="11.140625" customWidth="1"/>
    <col min="10506" max="10506" width="14.85546875" customWidth="1"/>
    <col min="10507" max="10507" width="15.85546875" customWidth="1"/>
    <col min="10508" max="10508" width="13.42578125" customWidth="1"/>
    <col min="10509" max="10509" width="18.140625" customWidth="1"/>
    <col min="10510" max="10510" width="13.42578125" customWidth="1"/>
    <col min="10511" max="10511" width="13.7109375" customWidth="1"/>
    <col min="10512" max="10512" width="18.140625" customWidth="1"/>
    <col min="10513" max="10513" width="13.42578125" customWidth="1"/>
    <col min="10514" max="10514" width="13.28515625" customWidth="1"/>
    <col min="10515" max="10515" width="13.5703125" customWidth="1"/>
    <col min="10753" max="10753" width="72.7109375" customWidth="1"/>
    <col min="10754" max="10754" width="18.7109375" customWidth="1"/>
    <col min="10755" max="10755" width="11.140625" customWidth="1"/>
    <col min="10756" max="10756" width="17.85546875" customWidth="1"/>
    <col min="10757" max="10757" width="15.42578125" customWidth="1"/>
    <col min="10758" max="10758" width="11.7109375" customWidth="1"/>
    <col min="10759" max="10759" width="13.5703125" customWidth="1"/>
    <col min="10760" max="10760" width="14.85546875" customWidth="1"/>
    <col min="10761" max="10761" width="11.140625" customWidth="1"/>
    <col min="10762" max="10762" width="14.85546875" customWidth="1"/>
    <col min="10763" max="10763" width="15.85546875" customWidth="1"/>
    <col min="10764" max="10764" width="13.42578125" customWidth="1"/>
    <col min="10765" max="10765" width="18.140625" customWidth="1"/>
    <col min="10766" max="10766" width="13.42578125" customWidth="1"/>
    <col min="10767" max="10767" width="13.7109375" customWidth="1"/>
    <col min="10768" max="10768" width="18.140625" customWidth="1"/>
    <col min="10769" max="10769" width="13.42578125" customWidth="1"/>
    <col min="10770" max="10770" width="13.28515625" customWidth="1"/>
    <col min="10771" max="10771" width="13.5703125" customWidth="1"/>
    <col min="11009" max="11009" width="72.7109375" customWidth="1"/>
    <col min="11010" max="11010" width="18.7109375" customWidth="1"/>
    <col min="11011" max="11011" width="11.140625" customWidth="1"/>
    <col min="11012" max="11012" width="17.85546875" customWidth="1"/>
    <col min="11013" max="11013" width="15.42578125" customWidth="1"/>
    <col min="11014" max="11014" width="11.7109375" customWidth="1"/>
    <col min="11015" max="11015" width="13.5703125" customWidth="1"/>
    <col min="11016" max="11016" width="14.85546875" customWidth="1"/>
    <col min="11017" max="11017" width="11.140625" customWidth="1"/>
    <col min="11018" max="11018" width="14.85546875" customWidth="1"/>
    <col min="11019" max="11019" width="15.85546875" customWidth="1"/>
    <col min="11020" max="11020" width="13.42578125" customWidth="1"/>
    <col min="11021" max="11021" width="18.140625" customWidth="1"/>
    <col min="11022" max="11022" width="13.42578125" customWidth="1"/>
    <col min="11023" max="11023" width="13.7109375" customWidth="1"/>
    <col min="11024" max="11024" width="18.140625" customWidth="1"/>
    <col min="11025" max="11025" width="13.42578125" customWidth="1"/>
    <col min="11026" max="11026" width="13.28515625" customWidth="1"/>
    <col min="11027" max="11027" width="13.5703125" customWidth="1"/>
    <col min="11265" max="11265" width="72.7109375" customWidth="1"/>
    <col min="11266" max="11266" width="18.7109375" customWidth="1"/>
    <col min="11267" max="11267" width="11.140625" customWidth="1"/>
    <col min="11268" max="11268" width="17.85546875" customWidth="1"/>
    <col min="11269" max="11269" width="15.42578125" customWidth="1"/>
    <col min="11270" max="11270" width="11.7109375" customWidth="1"/>
    <col min="11271" max="11271" width="13.5703125" customWidth="1"/>
    <col min="11272" max="11272" width="14.85546875" customWidth="1"/>
    <col min="11273" max="11273" width="11.140625" customWidth="1"/>
    <col min="11274" max="11274" width="14.85546875" customWidth="1"/>
    <col min="11275" max="11275" width="15.85546875" customWidth="1"/>
    <col min="11276" max="11276" width="13.42578125" customWidth="1"/>
    <col min="11277" max="11277" width="18.140625" customWidth="1"/>
    <col min="11278" max="11278" width="13.42578125" customWidth="1"/>
    <col min="11279" max="11279" width="13.7109375" customWidth="1"/>
    <col min="11280" max="11280" width="18.140625" customWidth="1"/>
    <col min="11281" max="11281" width="13.42578125" customWidth="1"/>
    <col min="11282" max="11282" width="13.28515625" customWidth="1"/>
    <col min="11283" max="11283" width="13.5703125" customWidth="1"/>
    <col min="11521" max="11521" width="72.7109375" customWidth="1"/>
    <col min="11522" max="11522" width="18.7109375" customWidth="1"/>
    <col min="11523" max="11523" width="11.140625" customWidth="1"/>
    <col min="11524" max="11524" width="17.85546875" customWidth="1"/>
    <col min="11525" max="11525" width="15.42578125" customWidth="1"/>
    <col min="11526" max="11526" width="11.7109375" customWidth="1"/>
    <col min="11527" max="11527" width="13.5703125" customWidth="1"/>
    <col min="11528" max="11528" width="14.85546875" customWidth="1"/>
    <col min="11529" max="11529" width="11.140625" customWidth="1"/>
    <col min="11530" max="11530" width="14.85546875" customWidth="1"/>
    <col min="11531" max="11531" width="15.85546875" customWidth="1"/>
    <col min="11532" max="11532" width="13.42578125" customWidth="1"/>
    <col min="11533" max="11533" width="18.140625" customWidth="1"/>
    <col min="11534" max="11534" width="13.42578125" customWidth="1"/>
    <col min="11535" max="11535" width="13.7109375" customWidth="1"/>
    <col min="11536" max="11536" width="18.140625" customWidth="1"/>
    <col min="11537" max="11537" width="13.42578125" customWidth="1"/>
    <col min="11538" max="11538" width="13.28515625" customWidth="1"/>
    <col min="11539" max="11539" width="13.5703125" customWidth="1"/>
    <col min="11777" max="11777" width="72.7109375" customWidth="1"/>
    <col min="11778" max="11778" width="18.7109375" customWidth="1"/>
    <col min="11779" max="11779" width="11.140625" customWidth="1"/>
    <col min="11780" max="11780" width="17.85546875" customWidth="1"/>
    <col min="11781" max="11781" width="15.42578125" customWidth="1"/>
    <col min="11782" max="11782" width="11.7109375" customWidth="1"/>
    <col min="11783" max="11783" width="13.5703125" customWidth="1"/>
    <col min="11784" max="11784" width="14.85546875" customWidth="1"/>
    <col min="11785" max="11785" width="11.140625" customWidth="1"/>
    <col min="11786" max="11786" width="14.85546875" customWidth="1"/>
    <col min="11787" max="11787" width="15.85546875" customWidth="1"/>
    <col min="11788" max="11788" width="13.42578125" customWidth="1"/>
    <col min="11789" max="11789" width="18.140625" customWidth="1"/>
    <col min="11790" max="11790" width="13.42578125" customWidth="1"/>
    <col min="11791" max="11791" width="13.7109375" customWidth="1"/>
    <col min="11792" max="11792" width="18.140625" customWidth="1"/>
    <col min="11793" max="11793" width="13.42578125" customWidth="1"/>
    <col min="11794" max="11794" width="13.28515625" customWidth="1"/>
    <col min="11795" max="11795" width="13.5703125" customWidth="1"/>
    <col min="12033" max="12033" width="72.7109375" customWidth="1"/>
    <col min="12034" max="12034" width="18.7109375" customWidth="1"/>
    <col min="12035" max="12035" width="11.140625" customWidth="1"/>
    <col min="12036" max="12036" width="17.85546875" customWidth="1"/>
    <col min="12037" max="12037" width="15.42578125" customWidth="1"/>
    <col min="12038" max="12038" width="11.7109375" customWidth="1"/>
    <col min="12039" max="12039" width="13.5703125" customWidth="1"/>
    <col min="12040" max="12040" width="14.85546875" customWidth="1"/>
    <col min="12041" max="12041" width="11.140625" customWidth="1"/>
    <col min="12042" max="12042" width="14.85546875" customWidth="1"/>
    <col min="12043" max="12043" width="15.85546875" customWidth="1"/>
    <col min="12044" max="12044" width="13.42578125" customWidth="1"/>
    <col min="12045" max="12045" width="18.140625" customWidth="1"/>
    <col min="12046" max="12046" width="13.42578125" customWidth="1"/>
    <col min="12047" max="12047" width="13.7109375" customWidth="1"/>
    <col min="12048" max="12048" width="18.140625" customWidth="1"/>
    <col min="12049" max="12049" width="13.42578125" customWidth="1"/>
    <col min="12050" max="12050" width="13.28515625" customWidth="1"/>
    <col min="12051" max="12051" width="13.5703125" customWidth="1"/>
    <col min="12289" max="12289" width="72.7109375" customWidth="1"/>
    <col min="12290" max="12290" width="18.7109375" customWidth="1"/>
    <col min="12291" max="12291" width="11.140625" customWidth="1"/>
    <col min="12292" max="12292" width="17.85546875" customWidth="1"/>
    <col min="12293" max="12293" width="15.42578125" customWidth="1"/>
    <col min="12294" max="12294" width="11.7109375" customWidth="1"/>
    <col min="12295" max="12295" width="13.5703125" customWidth="1"/>
    <col min="12296" max="12296" width="14.85546875" customWidth="1"/>
    <col min="12297" max="12297" width="11.140625" customWidth="1"/>
    <col min="12298" max="12298" width="14.85546875" customWidth="1"/>
    <col min="12299" max="12299" width="15.85546875" customWidth="1"/>
    <col min="12300" max="12300" width="13.42578125" customWidth="1"/>
    <col min="12301" max="12301" width="18.140625" customWidth="1"/>
    <col min="12302" max="12302" width="13.42578125" customWidth="1"/>
    <col min="12303" max="12303" width="13.7109375" customWidth="1"/>
    <col min="12304" max="12304" width="18.140625" customWidth="1"/>
    <col min="12305" max="12305" width="13.42578125" customWidth="1"/>
    <col min="12306" max="12306" width="13.28515625" customWidth="1"/>
    <col min="12307" max="12307" width="13.5703125" customWidth="1"/>
    <col min="12545" max="12545" width="72.7109375" customWidth="1"/>
    <col min="12546" max="12546" width="18.7109375" customWidth="1"/>
    <col min="12547" max="12547" width="11.140625" customWidth="1"/>
    <col min="12548" max="12548" width="17.85546875" customWidth="1"/>
    <col min="12549" max="12549" width="15.42578125" customWidth="1"/>
    <col min="12550" max="12550" width="11.7109375" customWidth="1"/>
    <col min="12551" max="12551" width="13.5703125" customWidth="1"/>
    <col min="12552" max="12552" width="14.85546875" customWidth="1"/>
    <col min="12553" max="12553" width="11.140625" customWidth="1"/>
    <col min="12554" max="12554" width="14.85546875" customWidth="1"/>
    <col min="12555" max="12555" width="15.85546875" customWidth="1"/>
    <col min="12556" max="12556" width="13.42578125" customWidth="1"/>
    <col min="12557" max="12557" width="18.140625" customWidth="1"/>
    <col min="12558" max="12558" width="13.42578125" customWidth="1"/>
    <col min="12559" max="12559" width="13.7109375" customWidth="1"/>
    <col min="12560" max="12560" width="18.140625" customWidth="1"/>
    <col min="12561" max="12561" width="13.42578125" customWidth="1"/>
    <col min="12562" max="12562" width="13.28515625" customWidth="1"/>
    <col min="12563" max="12563" width="13.5703125" customWidth="1"/>
    <col min="12801" max="12801" width="72.7109375" customWidth="1"/>
    <col min="12802" max="12802" width="18.7109375" customWidth="1"/>
    <col min="12803" max="12803" width="11.140625" customWidth="1"/>
    <col min="12804" max="12804" width="17.85546875" customWidth="1"/>
    <col min="12805" max="12805" width="15.42578125" customWidth="1"/>
    <col min="12806" max="12806" width="11.7109375" customWidth="1"/>
    <col min="12807" max="12807" width="13.5703125" customWidth="1"/>
    <col min="12808" max="12808" width="14.85546875" customWidth="1"/>
    <col min="12809" max="12809" width="11.140625" customWidth="1"/>
    <col min="12810" max="12810" width="14.85546875" customWidth="1"/>
    <col min="12811" max="12811" width="15.85546875" customWidth="1"/>
    <col min="12812" max="12812" width="13.42578125" customWidth="1"/>
    <col min="12813" max="12813" width="18.140625" customWidth="1"/>
    <col min="12814" max="12814" width="13.42578125" customWidth="1"/>
    <col min="12815" max="12815" width="13.7109375" customWidth="1"/>
    <col min="12816" max="12816" width="18.140625" customWidth="1"/>
    <col min="12817" max="12817" width="13.42578125" customWidth="1"/>
    <col min="12818" max="12818" width="13.28515625" customWidth="1"/>
    <col min="12819" max="12819" width="13.5703125" customWidth="1"/>
    <col min="13057" max="13057" width="72.7109375" customWidth="1"/>
    <col min="13058" max="13058" width="18.7109375" customWidth="1"/>
    <col min="13059" max="13059" width="11.140625" customWidth="1"/>
    <col min="13060" max="13060" width="17.85546875" customWidth="1"/>
    <col min="13061" max="13061" width="15.42578125" customWidth="1"/>
    <col min="13062" max="13062" width="11.7109375" customWidth="1"/>
    <col min="13063" max="13063" width="13.5703125" customWidth="1"/>
    <col min="13064" max="13064" width="14.85546875" customWidth="1"/>
    <col min="13065" max="13065" width="11.140625" customWidth="1"/>
    <col min="13066" max="13066" width="14.85546875" customWidth="1"/>
    <col min="13067" max="13067" width="15.85546875" customWidth="1"/>
    <col min="13068" max="13068" width="13.42578125" customWidth="1"/>
    <col min="13069" max="13069" width="18.140625" customWidth="1"/>
    <col min="13070" max="13070" width="13.42578125" customWidth="1"/>
    <col min="13071" max="13071" width="13.7109375" customWidth="1"/>
    <col min="13072" max="13072" width="18.140625" customWidth="1"/>
    <col min="13073" max="13073" width="13.42578125" customWidth="1"/>
    <col min="13074" max="13074" width="13.28515625" customWidth="1"/>
    <col min="13075" max="13075" width="13.5703125" customWidth="1"/>
    <col min="13313" max="13313" width="72.7109375" customWidth="1"/>
    <col min="13314" max="13314" width="18.7109375" customWidth="1"/>
    <col min="13315" max="13315" width="11.140625" customWidth="1"/>
    <col min="13316" max="13316" width="17.85546875" customWidth="1"/>
    <col min="13317" max="13317" width="15.42578125" customWidth="1"/>
    <col min="13318" max="13318" width="11.7109375" customWidth="1"/>
    <col min="13319" max="13319" width="13.5703125" customWidth="1"/>
    <col min="13320" max="13320" width="14.85546875" customWidth="1"/>
    <col min="13321" max="13321" width="11.140625" customWidth="1"/>
    <col min="13322" max="13322" width="14.85546875" customWidth="1"/>
    <col min="13323" max="13323" width="15.85546875" customWidth="1"/>
    <col min="13324" max="13324" width="13.42578125" customWidth="1"/>
    <col min="13325" max="13325" width="18.140625" customWidth="1"/>
    <col min="13326" max="13326" width="13.42578125" customWidth="1"/>
    <col min="13327" max="13327" width="13.7109375" customWidth="1"/>
    <col min="13328" max="13328" width="18.140625" customWidth="1"/>
    <col min="13329" max="13329" width="13.42578125" customWidth="1"/>
    <col min="13330" max="13330" width="13.28515625" customWidth="1"/>
    <col min="13331" max="13331" width="13.5703125" customWidth="1"/>
    <col min="13569" max="13569" width="72.7109375" customWidth="1"/>
    <col min="13570" max="13570" width="18.7109375" customWidth="1"/>
    <col min="13571" max="13571" width="11.140625" customWidth="1"/>
    <col min="13572" max="13572" width="17.85546875" customWidth="1"/>
    <col min="13573" max="13573" width="15.42578125" customWidth="1"/>
    <col min="13574" max="13574" width="11.7109375" customWidth="1"/>
    <col min="13575" max="13575" width="13.5703125" customWidth="1"/>
    <col min="13576" max="13576" width="14.85546875" customWidth="1"/>
    <col min="13577" max="13577" width="11.140625" customWidth="1"/>
    <col min="13578" max="13578" width="14.85546875" customWidth="1"/>
    <col min="13579" max="13579" width="15.85546875" customWidth="1"/>
    <col min="13580" max="13580" width="13.42578125" customWidth="1"/>
    <col min="13581" max="13581" width="18.140625" customWidth="1"/>
    <col min="13582" max="13582" width="13.42578125" customWidth="1"/>
    <col min="13583" max="13583" width="13.7109375" customWidth="1"/>
    <col min="13584" max="13584" width="18.140625" customWidth="1"/>
    <col min="13585" max="13585" width="13.42578125" customWidth="1"/>
    <col min="13586" max="13586" width="13.28515625" customWidth="1"/>
    <col min="13587" max="13587" width="13.5703125" customWidth="1"/>
    <col min="13825" max="13825" width="72.7109375" customWidth="1"/>
    <col min="13826" max="13826" width="18.7109375" customWidth="1"/>
    <col min="13827" max="13827" width="11.140625" customWidth="1"/>
    <col min="13828" max="13828" width="17.85546875" customWidth="1"/>
    <col min="13829" max="13829" width="15.42578125" customWidth="1"/>
    <col min="13830" max="13830" width="11.7109375" customWidth="1"/>
    <col min="13831" max="13831" width="13.5703125" customWidth="1"/>
    <col min="13832" max="13832" width="14.85546875" customWidth="1"/>
    <col min="13833" max="13833" width="11.140625" customWidth="1"/>
    <col min="13834" max="13834" width="14.85546875" customWidth="1"/>
    <col min="13835" max="13835" width="15.85546875" customWidth="1"/>
    <col min="13836" max="13836" width="13.42578125" customWidth="1"/>
    <col min="13837" max="13837" width="18.140625" customWidth="1"/>
    <col min="13838" max="13838" width="13.42578125" customWidth="1"/>
    <col min="13839" max="13839" width="13.7109375" customWidth="1"/>
    <col min="13840" max="13840" width="18.140625" customWidth="1"/>
    <col min="13841" max="13841" width="13.42578125" customWidth="1"/>
    <col min="13842" max="13842" width="13.28515625" customWidth="1"/>
    <col min="13843" max="13843" width="13.5703125" customWidth="1"/>
    <col min="14081" max="14081" width="72.7109375" customWidth="1"/>
    <col min="14082" max="14082" width="18.7109375" customWidth="1"/>
    <col min="14083" max="14083" width="11.140625" customWidth="1"/>
    <col min="14084" max="14084" width="17.85546875" customWidth="1"/>
    <col min="14085" max="14085" width="15.42578125" customWidth="1"/>
    <col min="14086" max="14086" width="11.7109375" customWidth="1"/>
    <col min="14087" max="14087" width="13.5703125" customWidth="1"/>
    <col min="14088" max="14088" width="14.85546875" customWidth="1"/>
    <col min="14089" max="14089" width="11.140625" customWidth="1"/>
    <col min="14090" max="14090" width="14.85546875" customWidth="1"/>
    <col min="14091" max="14091" width="15.85546875" customWidth="1"/>
    <col min="14092" max="14092" width="13.42578125" customWidth="1"/>
    <col min="14093" max="14093" width="18.140625" customWidth="1"/>
    <col min="14094" max="14094" width="13.42578125" customWidth="1"/>
    <col min="14095" max="14095" width="13.7109375" customWidth="1"/>
    <col min="14096" max="14096" width="18.140625" customWidth="1"/>
    <col min="14097" max="14097" width="13.42578125" customWidth="1"/>
    <col min="14098" max="14098" width="13.28515625" customWidth="1"/>
    <col min="14099" max="14099" width="13.5703125" customWidth="1"/>
    <col min="14337" max="14337" width="72.7109375" customWidth="1"/>
    <col min="14338" max="14338" width="18.7109375" customWidth="1"/>
    <col min="14339" max="14339" width="11.140625" customWidth="1"/>
    <col min="14340" max="14340" width="17.85546875" customWidth="1"/>
    <col min="14341" max="14341" width="15.42578125" customWidth="1"/>
    <col min="14342" max="14342" width="11.7109375" customWidth="1"/>
    <col min="14343" max="14343" width="13.5703125" customWidth="1"/>
    <col min="14344" max="14344" width="14.85546875" customWidth="1"/>
    <col min="14345" max="14345" width="11.140625" customWidth="1"/>
    <col min="14346" max="14346" width="14.85546875" customWidth="1"/>
    <col min="14347" max="14347" width="15.85546875" customWidth="1"/>
    <col min="14348" max="14348" width="13.42578125" customWidth="1"/>
    <col min="14349" max="14349" width="18.140625" customWidth="1"/>
    <col min="14350" max="14350" width="13.42578125" customWidth="1"/>
    <col min="14351" max="14351" width="13.7109375" customWidth="1"/>
    <col min="14352" max="14352" width="18.140625" customWidth="1"/>
    <col min="14353" max="14353" width="13.42578125" customWidth="1"/>
    <col min="14354" max="14354" width="13.28515625" customWidth="1"/>
    <col min="14355" max="14355" width="13.5703125" customWidth="1"/>
    <col min="14593" max="14593" width="72.7109375" customWidth="1"/>
    <col min="14594" max="14594" width="18.7109375" customWidth="1"/>
    <col min="14595" max="14595" width="11.140625" customWidth="1"/>
    <col min="14596" max="14596" width="17.85546875" customWidth="1"/>
    <col min="14597" max="14597" width="15.42578125" customWidth="1"/>
    <col min="14598" max="14598" width="11.7109375" customWidth="1"/>
    <col min="14599" max="14599" width="13.5703125" customWidth="1"/>
    <col min="14600" max="14600" width="14.85546875" customWidth="1"/>
    <col min="14601" max="14601" width="11.140625" customWidth="1"/>
    <col min="14602" max="14602" width="14.85546875" customWidth="1"/>
    <col min="14603" max="14603" width="15.85546875" customWidth="1"/>
    <col min="14604" max="14604" width="13.42578125" customWidth="1"/>
    <col min="14605" max="14605" width="18.140625" customWidth="1"/>
    <col min="14606" max="14606" width="13.42578125" customWidth="1"/>
    <col min="14607" max="14607" width="13.7109375" customWidth="1"/>
    <col min="14608" max="14608" width="18.140625" customWidth="1"/>
    <col min="14609" max="14609" width="13.42578125" customWidth="1"/>
    <col min="14610" max="14610" width="13.28515625" customWidth="1"/>
    <col min="14611" max="14611" width="13.5703125" customWidth="1"/>
    <col min="14849" max="14849" width="72.7109375" customWidth="1"/>
    <col min="14850" max="14850" width="18.7109375" customWidth="1"/>
    <col min="14851" max="14851" width="11.140625" customWidth="1"/>
    <col min="14852" max="14852" width="17.85546875" customWidth="1"/>
    <col min="14853" max="14853" width="15.42578125" customWidth="1"/>
    <col min="14854" max="14854" width="11.7109375" customWidth="1"/>
    <col min="14855" max="14855" width="13.5703125" customWidth="1"/>
    <col min="14856" max="14856" width="14.85546875" customWidth="1"/>
    <col min="14857" max="14857" width="11.140625" customWidth="1"/>
    <col min="14858" max="14858" width="14.85546875" customWidth="1"/>
    <col min="14859" max="14859" width="15.85546875" customWidth="1"/>
    <col min="14860" max="14860" width="13.42578125" customWidth="1"/>
    <col min="14861" max="14861" width="18.140625" customWidth="1"/>
    <col min="14862" max="14862" width="13.42578125" customWidth="1"/>
    <col min="14863" max="14863" width="13.7109375" customWidth="1"/>
    <col min="14864" max="14864" width="18.140625" customWidth="1"/>
    <col min="14865" max="14865" width="13.42578125" customWidth="1"/>
    <col min="14866" max="14866" width="13.28515625" customWidth="1"/>
    <col min="14867" max="14867" width="13.5703125" customWidth="1"/>
    <col min="15105" max="15105" width="72.7109375" customWidth="1"/>
    <col min="15106" max="15106" width="18.7109375" customWidth="1"/>
    <col min="15107" max="15107" width="11.140625" customWidth="1"/>
    <col min="15108" max="15108" width="17.85546875" customWidth="1"/>
    <col min="15109" max="15109" width="15.42578125" customWidth="1"/>
    <col min="15110" max="15110" width="11.7109375" customWidth="1"/>
    <col min="15111" max="15111" width="13.5703125" customWidth="1"/>
    <col min="15112" max="15112" width="14.85546875" customWidth="1"/>
    <col min="15113" max="15113" width="11.140625" customWidth="1"/>
    <col min="15114" max="15114" width="14.85546875" customWidth="1"/>
    <col min="15115" max="15115" width="15.85546875" customWidth="1"/>
    <col min="15116" max="15116" width="13.42578125" customWidth="1"/>
    <col min="15117" max="15117" width="18.140625" customWidth="1"/>
    <col min="15118" max="15118" width="13.42578125" customWidth="1"/>
    <col min="15119" max="15119" width="13.7109375" customWidth="1"/>
    <col min="15120" max="15120" width="18.140625" customWidth="1"/>
    <col min="15121" max="15121" width="13.42578125" customWidth="1"/>
    <col min="15122" max="15122" width="13.28515625" customWidth="1"/>
    <col min="15123" max="15123" width="13.5703125" customWidth="1"/>
    <col min="15361" max="15361" width="72.7109375" customWidth="1"/>
    <col min="15362" max="15362" width="18.7109375" customWidth="1"/>
    <col min="15363" max="15363" width="11.140625" customWidth="1"/>
    <col min="15364" max="15364" width="17.85546875" customWidth="1"/>
    <col min="15365" max="15365" width="15.42578125" customWidth="1"/>
    <col min="15366" max="15366" width="11.7109375" customWidth="1"/>
    <col min="15367" max="15367" width="13.5703125" customWidth="1"/>
    <col min="15368" max="15368" width="14.85546875" customWidth="1"/>
    <col min="15369" max="15369" width="11.140625" customWidth="1"/>
    <col min="15370" max="15370" width="14.85546875" customWidth="1"/>
    <col min="15371" max="15371" width="15.85546875" customWidth="1"/>
    <col min="15372" max="15372" width="13.42578125" customWidth="1"/>
    <col min="15373" max="15373" width="18.140625" customWidth="1"/>
    <col min="15374" max="15374" width="13.42578125" customWidth="1"/>
    <col min="15375" max="15375" width="13.7109375" customWidth="1"/>
    <col min="15376" max="15376" width="18.140625" customWidth="1"/>
    <col min="15377" max="15377" width="13.42578125" customWidth="1"/>
    <col min="15378" max="15378" width="13.28515625" customWidth="1"/>
    <col min="15379" max="15379" width="13.5703125" customWidth="1"/>
    <col min="15617" max="15617" width="72.7109375" customWidth="1"/>
    <col min="15618" max="15618" width="18.7109375" customWidth="1"/>
    <col min="15619" max="15619" width="11.140625" customWidth="1"/>
    <col min="15620" max="15620" width="17.85546875" customWidth="1"/>
    <col min="15621" max="15621" width="15.42578125" customWidth="1"/>
    <col min="15622" max="15622" width="11.7109375" customWidth="1"/>
    <col min="15623" max="15623" width="13.5703125" customWidth="1"/>
    <col min="15624" max="15624" width="14.85546875" customWidth="1"/>
    <col min="15625" max="15625" width="11.140625" customWidth="1"/>
    <col min="15626" max="15626" width="14.85546875" customWidth="1"/>
    <col min="15627" max="15627" width="15.85546875" customWidth="1"/>
    <col min="15628" max="15628" width="13.42578125" customWidth="1"/>
    <col min="15629" max="15629" width="18.140625" customWidth="1"/>
    <col min="15630" max="15630" width="13.42578125" customWidth="1"/>
    <col min="15631" max="15631" width="13.7109375" customWidth="1"/>
    <col min="15632" max="15632" width="18.140625" customWidth="1"/>
    <col min="15633" max="15633" width="13.42578125" customWidth="1"/>
    <col min="15634" max="15634" width="13.28515625" customWidth="1"/>
    <col min="15635" max="15635" width="13.5703125" customWidth="1"/>
    <col min="15873" max="15873" width="72.7109375" customWidth="1"/>
    <col min="15874" max="15874" width="18.7109375" customWidth="1"/>
    <col min="15875" max="15875" width="11.140625" customWidth="1"/>
    <col min="15876" max="15876" width="17.85546875" customWidth="1"/>
    <col min="15877" max="15877" width="15.42578125" customWidth="1"/>
    <col min="15878" max="15878" width="11.7109375" customWidth="1"/>
    <col min="15879" max="15879" width="13.5703125" customWidth="1"/>
    <col min="15880" max="15880" width="14.85546875" customWidth="1"/>
    <col min="15881" max="15881" width="11.140625" customWidth="1"/>
    <col min="15882" max="15882" width="14.85546875" customWidth="1"/>
    <col min="15883" max="15883" width="15.85546875" customWidth="1"/>
    <col min="15884" max="15884" width="13.42578125" customWidth="1"/>
    <col min="15885" max="15885" width="18.140625" customWidth="1"/>
    <col min="15886" max="15886" width="13.42578125" customWidth="1"/>
    <col min="15887" max="15887" width="13.7109375" customWidth="1"/>
    <col min="15888" max="15888" width="18.140625" customWidth="1"/>
    <col min="15889" max="15889" width="13.42578125" customWidth="1"/>
    <col min="15890" max="15890" width="13.28515625" customWidth="1"/>
    <col min="15891" max="15891" width="13.5703125" customWidth="1"/>
    <col min="16129" max="16129" width="72.7109375" customWidth="1"/>
    <col min="16130" max="16130" width="18.7109375" customWidth="1"/>
    <col min="16131" max="16131" width="11.140625" customWidth="1"/>
    <col min="16132" max="16132" width="17.85546875" customWidth="1"/>
    <col min="16133" max="16133" width="15.42578125" customWidth="1"/>
    <col min="16134" max="16134" width="11.7109375" customWidth="1"/>
    <col min="16135" max="16135" width="13.5703125" customWidth="1"/>
    <col min="16136" max="16136" width="14.85546875" customWidth="1"/>
    <col min="16137" max="16137" width="11.140625" customWidth="1"/>
    <col min="16138" max="16138" width="14.85546875" customWidth="1"/>
    <col min="16139" max="16139" width="15.85546875" customWidth="1"/>
    <col min="16140" max="16140" width="13.42578125" customWidth="1"/>
    <col min="16141" max="16141" width="18.140625" customWidth="1"/>
    <col min="16142" max="16142" width="13.42578125" customWidth="1"/>
    <col min="16143" max="16143" width="13.7109375" customWidth="1"/>
    <col min="16144" max="16144" width="18.140625" customWidth="1"/>
    <col min="16145" max="16145" width="13.42578125" customWidth="1"/>
    <col min="16146" max="16146" width="13.28515625" customWidth="1"/>
    <col min="16147" max="16147" width="13.5703125" customWidth="1"/>
  </cols>
  <sheetData>
    <row r="1" spans="1:20" ht="24.95" customHeight="1">
      <c r="A1" s="106"/>
      <c r="B1" s="107"/>
      <c r="C1" s="108"/>
      <c r="D1" s="109" t="s">
        <v>39</v>
      </c>
      <c r="E1" s="108"/>
      <c r="F1" s="108"/>
      <c r="G1" s="108"/>
      <c r="H1" s="108"/>
      <c r="I1" s="108"/>
      <c r="J1" s="108"/>
      <c r="K1" s="108"/>
      <c r="L1" s="108"/>
      <c r="M1" s="110"/>
      <c r="N1" s="110"/>
      <c r="O1" s="111"/>
      <c r="P1" s="106"/>
    </row>
    <row r="2" spans="1:20" ht="24.95" customHeight="1">
      <c r="A2" s="106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1"/>
      <c r="N2" s="111"/>
      <c r="O2" s="111"/>
      <c r="P2" s="106"/>
    </row>
    <row r="3" spans="1:20" ht="24.95" customHeight="1">
      <c r="A3" s="106"/>
      <c r="B3" s="112" t="s">
        <v>40</v>
      </c>
      <c r="C3" s="113"/>
      <c r="D3" s="112"/>
      <c r="E3" s="112"/>
      <c r="F3" s="112"/>
      <c r="G3" s="112"/>
      <c r="H3" s="112"/>
      <c r="I3" s="112"/>
      <c r="J3" s="112"/>
      <c r="K3" s="112"/>
      <c r="L3" s="112"/>
      <c r="M3" s="114"/>
      <c r="N3" s="111"/>
      <c r="P3" s="106"/>
    </row>
    <row r="4" spans="1:20" ht="30" customHeight="1" thickBot="1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</row>
    <row r="5" spans="1:20" ht="30" customHeight="1" thickTop="1">
      <c r="A5" s="116"/>
      <c r="B5" s="116"/>
      <c r="C5" s="117"/>
      <c r="D5" s="117"/>
      <c r="E5" s="116"/>
      <c r="F5" s="117"/>
      <c r="G5" s="117"/>
      <c r="H5" s="116"/>
      <c r="I5" s="118"/>
      <c r="J5" s="117"/>
      <c r="K5" s="116"/>
      <c r="L5" s="117"/>
      <c r="M5" s="117"/>
      <c r="N5" s="116"/>
      <c r="O5" s="117"/>
      <c r="P5" s="117"/>
      <c r="Q5" s="116"/>
      <c r="R5" s="117"/>
      <c r="S5" s="117"/>
      <c r="T5" s="119"/>
    </row>
    <row r="6" spans="1:20" ht="30" customHeight="1">
      <c r="A6" s="120"/>
      <c r="B6" s="220" t="s">
        <v>26</v>
      </c>
      <c r="C6" s="221"/>
      <c r="D6" s="222"/>
      <c r="E6" s="220" t="s">
        <v>41</v>
      </c>
      <c r="F6" s="221"/>
      <c r="G6" s="222"/>
      <c r="H6" s="220" t="s">
        <v>28</v>
      </c>
      <c r="I6" s="221"/>
      <c r="J6" s="222"/>
      <c r="K6" s="220" t="s">
        <v>29</v>
      </c>
      <c r="L6" s="221"/>
      <c r="M6" s="222"/>
      <c r="N6" s="220" t="s">
        <v>42</v>
      </c>
      <c r="O6" s="221"/>
      <c r="P6" s="222"/>
      <c r="Q6" s="220" t="s">
        <v>43</v>
      </c>
      <c r="R6" s="221"/>
      <c r="S6" s="222"/>
      <c r="T6" s="119"/>
    </row>
    <row r="7" spans="1:20" ht="30" customHeight="1">
      <c r="A7" s="121" t="s">
        <v>44</v>
      </c>
      <c r="B7" s="122"/>
      <c r="C7" s="123"/>
      <c r="D7" s="123"/>
      <c r="E7" s="122"/>
      <c r="F7" s="123"/>
      <c r="G7" s="123"/>
      <c r="H7" s="122"/>
      <c r="I7" s="123"/>
      <c r="J7" s="123"/>
      <c r="K7" s="122"/>
      <c r="L7" s="123"/>
      <c r="M7" s="123"/>
      <c r="N7" s="122"/>
      <c r="O7" s="123"/>
      <c r="P7" s="123"/>
      <c r="Q7" s="122"/>
      <c r="R7" s="123"/>
      <c r="S7" s="123"/>
      <c r="T7" s="124"/>
    </row>
    <row r="8" spans="1:20" ht="30" customHeight="1">
      <c r="A8" s="121"/>
      <c r="B8" s="125" t="s">
        <v>10</v>
      </c>
      <c r="C8" s="126" t="s">
        <v>11</v>
      </c>
      <c r="D8" s="126" t="s">
        <v>12</v>
      </c>
      <c r="E8" s="125" t="s">
        <v>10</v>
      </c>
      <c r="F8" s="126" t="s">
        <v>11</v>
      </c>
      <c r="G8" s="126" t="s">
        <v>12</v>
      </c>
      <c r="H8" s="125" t="s">
        <v>10</v>
      </c>
      <c r="I8" s="126" t="s">
        <v>11</v>
      </c>
      <c r="J8" s="126" t="s">
        <v>12</v>
      </c>
      <c r="K8" s="125" t="s">
        <v>10</v>
      </c>
      <c r="L8" s="126" t="s">
        <v>11</v>
      </c>
      <c r="M8" s="126" t="s">
        <v>12</v>
      </c>
      <c r="N8" s="125" t="s">
        <v>10</v>
      </c>
      <c r="O8" s="126" t="s">
        <v>11</v>
      </c>
      <c r="P8" s="126" t="s">
        <v>12</v>
      </c>
      <c r="Q8" s="125" t="s">
        <v>10</v>
      </c>
      <c r="R8" s="126" t="s">
        <v>11</v>
      </c>
      <c r="S8" s="126" t="s">
        <v>12</v>
      </c>
      <c r="T8" s="119"/>
    </row>
    <row r="9" spans="1:20" ht="30" customHeight="1">
      <c r="A9" s="121" t="s">
        <v>2</v>
      </c>
      <c r="B9" s="121" t="s">
        <v>13</v>
      </c>
      <c r="C9" s="127" t="s">
        <v>14</v>
      </c>
      <c r="D9" s="127" t="s">
        <v>15</v>
      </c>
      <c r="E9" s="121" t="s">
        <v>13</v>
      </c>
      <c r="F9" s="127" t="s">
        <v>14</v>
      </c>
      <c r="G9" s="127" t="s">
        <v>15</v>
      </c>
      <c r="H9" s="121" t="s">
        <v>13</v>
      </c>
      <c r="I9" s="127" t="s">
        <v>14</v>
      </c>
      <c r="J9" s="127" t="s">
        <v>15</v>
      </c>
      <c r="K9" s="121" t="s">
        <v>13</v>
      </c>
      <c r="L9" s="127" t="s">
        <v>14</v>
      </c>
      <c r="M9" s="127" t="s">
        <v>15</v>
      </c>
      <c r="N9" s="121" t="s">
        <v>13</v>
      </c>
      <c r="O9" s="127" t="s">
        <v>14</v>
      </c>
      <c r="P9" s="127" t="s">
        <v>15</v>
      </c>
      <c r="Q9" s="121" t="s">
        <v>13</v>
      </c>
      <c r="R9" s="127" t="s">
        <v>14</v>
      </c>
      <c r="S9" s="127" t="s">
        <v>15</v>
      </c>
      <c r="T9" s="119"/>
    </row>
    <row r="10" spans="1:20" ht="30" customHeight="1">
      <c r="A10" s="128"/>
      <c r="B10" s="129"/>
      <c r="C10" s="130"/>
      <c r="D10" s="130"/>
      <c r="E10" s="129"/>
      <c r="F10" s="130"/>
      <c r="G10" s="130"/>
      <c r="H10" s="129"/>
      <c r="I10" s="130"/>
      <c r="J10" s="130"/>
      <c r="K10" s="129"/>
      <c r="L10" s="130"/>
      <c r="M10" s="130"/>
      <c r="N10" s="129"/>
      <c r="O10" s="130"/>
      <c r="P10" s="130"/>
      <c r="Q10" s="129"/>
      <c r="R10" s="130"/>
      <c r="S10" s="130"/>
      <c r="T10" s="119"/>
    </row>
    <row r="11" spans="1:20" ht="30" customHeight="1">
      <c r="A11" s="121" t="s">
        <v>45</v>
      </c>
      <c r="B11" s="131">
        <f>[1]Dakar!B24</f>
        <v>894.74165099999993</v>
      </c>
      <c r="C11" s="132">
        <f>[1]Dakar!C24</f>
        <v>622</v>
      </c>
      <c r="D11" s="133">
        <f>[1]Dakar!D24</f>
        <v>556.52930692199993</v>
      </c>
      <c r="E11" s="131"/>
      <c r="F11" s="132"/>
      <c r="G11" s="133"/>
      <c r="H11" s="131">
        <f>[1]Dakar!E24</f>
        <v>211</v>
      </c>
      <c r="I11" s="132">
        <f>[1]Dakar!F24</f>
        <v>400</v>
      </c>
      <c r="J11" s="133">
        <f>[1]Dakar!G24</f>
        <v>84.4</v>
      </c>
      <c r="K11" s="131">
        <f>[1]Dakar!H24</f>
        <v>443.85117227187055</v>
      </c>
      <c r="L11" s="132">
        <f>[1]Dakar!I24</f>
        <v>8220.8253000000004</v>
      </c>
      <c r="M11" s="133">
        <f>[1]Dakar!J24</f>
        <v>3648.8229464472524</v>
      </c>
      <c r="N11" s="131">
        <f>[1]Dakar!K24</f>
        <v>159.73385092592594</v>
      </c>
      <c r="O11" s="132">
        <f>[1]Dakar!L24</f>
        <v>12400</v>
      </c>
      <c r="P11" s="133">
        <f>[1]Dakar!M24</f>
        <v>1980.6997514814816</v>
      </c>
      <c r="Q11" s="131"/>
      <c r="R11" s="132"/>
      <c r="S11" s="133"/>
      <c r="T11" s="119"/>
    </row>
    <row r="12" spans="1:20" ht="30" customHeight="1">
      <c r="A12" s="121" t="s">
        <v>46</v>
      </c>
      <c r="B12" s="131">
        <f>[1]Diourbel!B28</f>
        <v>82467.284999999989</v>
      </c>
      <c r="C12" s="134">
        <f>[1]Diourbel!C28</f>
        <v>1035.9634280350729</v>
      </c>
      <c r="D12" s="133">
        <f>[1]Diourbel!D28</f>
        <v>85433.091269345343</v>
      </c>
      <c r="E12" s="131"/>
      <c r="F12" s="134"/>
      <c r="G12" s="133"/>
      <c r="H12" s="131">
        <f>[1]Diourbel!E28</f>
        <v>28090</v>
      </c>
      <c r="I12" s="134">
        <f>[1]Diourbel!F28</f>
        <v>653.16838732645067</v>
      </c>
      <c r="J12" s="133">
        <f>[1]Diourbel!G28</f>
        <v>18347.5</v>
      </c>
      <c r="K12" s="135">
        <f>[1]Diourbel!H28</f>
        <v>12634</v>
      </c>
      <c r="L12" s="136">
        <f>[1]Diourbel!I28</f>
        <v>9070.0129592528083</v>
      </c>
      <c r="M12" s="136">
        <f>[1]Diourbel!J28</f>
        <v>114590.54372719998</v>
      </c>
      <c r="N12" s="131">
        <f>[1]Diourbel!K28</f>
        <v>12229.315469245754</v>
      </c>
      <c r="O12" s="134">
        <f>[1]Diourbel!L28</f>
        <v>11918.870542090606</v>
      </c>
      <c r="P12" s="133">
        <f>[1]Diourbel!M28</f>
        <v>145759.62789632616</v>
      </c>
      <c r="Q12" s="131">
        <f>[1]Diourbel!N28</f>
        <v>1445</v>
      </c>
      <c r="R12" s="134">
        <f>[1]Diourbel!O28</f>
        <v>628.01314878892731</v>
      </c>
      <c r="S12" s="134">
        <f>[1]Diourbel!P28</f>
        <v>907.47899999999993</v>
      </c>
      <c r="T12" s="119"/>
    </row>
    <row r="13" spans="1:20" ht="30" customHeight="1">
      <c r="A13" s="121" t="s">
        <v>47</v>
      </c>
      <c r="B13" s="131">
        <f>[1]Fatick!B30</f>
        <v>188837.25701681047</v>
      </c>
      <c r="C13" s="134">
        <f>[1]Fatick!C30</f>
        <v>1227.5491953755388</v>
      </c>
      <c r="D13" s="134">
        <f>[1]Fatick!D30</f>
        <v>231807.02290790953</v>
      </c>
      <c r="E13" s="131"/>
      <c r="F13" s="134"/>
      <c r="G13" s="134"/>
      <c r="H13" s="131">
        <f>[1]Fatick!E30</f>
        <v>23515.473241736549</v>
      </c>
      <c r="I13" s="134">
        <f>[1]Fatick!F30</f>
        <v>870.59013295972113</v>
      </c>
      <c r="J13" s="134">
        <f>[1]Fatick!G30</f>
        <v>20472.338976134186</v>
      </c>
      <c r="K13" s="131">
        <f>[1]Fatick!H30</f>
        <v>4541.1212608036594</v>
      </c>
      <c r="L13" s="134">
        <f>[1]Fatick!I30</f>
        <v>10516.993862574407</v>
      </c>
      <c r="M13" s="134">
        <f>[1]Fatick!J30</f>
        <v>47758.944429078241</v>
      </c>
      <c r="N13" s="131">
        <f>[1]Fatick!K30</f>
        <v>6896.7637207715252</v>
      </c>
      <c r="O13" s="134">
        <f>[1]Fatick!L30</f>
        <v>12580.545024085277</v>
      </c>
      <c r="P13" s="134">
        <f>[1]Fatick!M30</f>
        <v>86765.046509644075</v>
      </c>
      <c r="Q13" s="131">
        <f>[1]Fatick!N30</f>
        <v>5335</v>
      </c>
      <c r="R13" s="134">
        <f>[1]Fatick!O30</f>
        <v>611.18837863167766</v>
      </c>
      <c r="S13" s="134">
        <f>[1]Fatick!P30</f>
        <v>3260.69</v>
      </c>
      <c r="T13" s="119"/>
    </row>
    <row r="14" spans="1:20" ht="30" customHeight="1">
      <c r="A14" s="121" t="s">
        <v>48</v>
      </c>
      <c r="B14" s="135">
        <f>[1]Kaolack!B28</f>
        <v>175385.09119625366</v>
      </c>
      <c r="C14" s="136">
        <f>[1]Kaolack!C28</f>
        <v>1493.5390424240288</v>
      </c>
      <c r="D14" s="136">
        <f>[1]Kaolack!D28</f>
        <v>261944.4811607037</v>
      </c>
      <c r="E14" s="135"/>
      <c r="F14" s="136"/>
      <c r="G14" s="136"/>
      <c r="H14" s="135">
        <f>[1]Kaolack!E28</f>
        <v>2595.7391112775554</v>
      </c>
      <c r="I14" s="136">
        <f>[1]Kaolack!F28</f>
        <v>618.94876598235862</v>
      </c>
      <c r="J14" s="136">
        <f>[1]Kaolack!G28</f>
        <v>1606.629519737387</v>
      </c>
      <c r="K14" s="135">
        <f>[1]Kaolack!H28</f>
        <v>6607.4268529578358</v>
      </c>
      <c r="L14" s="136">
        <f>[1]Kaolack!I28</f>
        <v>19735.752541318139</v>
      </c>
      <c r="M14" s="136">
        <f>[1]Kaolack!J28</f>
        <v>130402.54130483631</v>
      </c>
      <c r="N14" s="135">
        <f>[1]Kaolack!K28</f>
        <v>14997.734852284691</v>
      </c>
      <c r="O14" s="136">
        <f>[1]Kaolack!L28</f>
        <v>35143.005990240163</v>
      </c>
      <c r="P14" s="136">
        <f>[1]Kaolack!M28</f>
        <v>527065.48575387453</v>
      </c>
      <c r="Q14" s="135">
        <f>[1]Kaolack!N28</f>
        <v>1850.2740666666668</v>
      </c>
      <c r="R14" s="136">
        <f>[1]Kaolack!O28</f>
        <v>596.65188699432667</v>
      </c>
      <c r="S14" s="136">
        <f>[1]Kaolack!P28</f>
        <v>1103.9695133333335</v>
      </c>
      <c r="T14" s="119"/>
    </row>
    <row r="15" spans="1:20" ht="30" customHeight="1">
      <c r="A15" s="121" t="s">
        <v>49</v>
      </c>
      <c r="B15" s="131">
        <f>[1]Kolda!B32</f>
        <v>128694.51999999999</v>
      </c>
      <c r="C15" s="134">
        <f>[1]Kolda!C32</f>
        <v>2368.1783533199396</v>
      </c>
      <c r="D15" s="134">
        <f>[1]Kolda!D32</f>
        <v>304771.57645489997</v>
      </c>
      <c r="E15" s="131"/>
      <c r="F15" s="134"/>
      <c r="G15" s="134"/>
      <c r="H15" s="131">
        <f>[1]Kolda!H32</f>
        <v>1922.2141625695201</v>
      </c>
      <c r="I15" s="134">
        <f>[1]Kolda!I32</f>
        <v>630.78915856657954</v>
      </c>
      <c r="J15" s="134">
        <f>[1]Kolda!J32</f>
        <v>1212.5118541919901</v>
      </c>
      <c r="K15" s="131">
        <f>[1]Kolda!K32</f>
        <v>1383.7525093321719</v>
      </c>
      <c r="L15" s="134">
        <f>[1]Kolda!L32</f>
        <v>10893.697861957953</v>
      </c>
      <c r="M15" s="134">
        <f>[1]Kolda!M32</f>
        <v>15074.181752390834</v>
      </c>
      <c r="N15" s="131">
        <f>[1]Kolda!N32</f>
        <v>925.64097984289128</v>
      </c>
      <c r="O15" s="134">
        <f>[1]Kolda!O32</f>
        <v>12913.802973574546</v>
      </c>
      <c r="P15" s="134">
        <f>[1]Kolda!P32</f>
        <v>11953.545237957585</v>
      </c>
      <c r="Q15" s="131">
        <f>[1]Kolda!Q32</f>
        <v>2785.4449999999997</v>
      </c>
      <c r="R15" s="134">
        <f>[1]Kolda!R32</f>
        <v>881.4720017806851</v>
      </c>
      <c r="S15" s="134">
        <f>[1]Kolda!S32</f>
        <v>2455.29178</v>
      </c>
      <c r="T15" s="119"/>
    </row>
    <row r="16" spans="1:20" ht="30" customHeight="1">
      <c r="A16" s="121" t="s">
        <v>50</v>
      </c>
      <c r="B16" s="131">
        <f>[1]Louga!B27</f>
        <v>122668.81259999998</v>
      </c>
      <c r="C16" s="134">
        <f>[1]Louga!C27</f>
        <v>1107.0271692627439</v>
      </c>
      <c r="D16" s="133">
        <f>[1]Louga!D27</f>
        <v>135797.70836939997</v>
      </c>
      <c r="E16" s="131"/>
      <c r="F16" s="134"/>
      <c r="G16" s="133"/>
      <c r="H16" s="131">
        <f>[1]Louga!E27</f>
        <v>168757</v>
      </c>
      <c r="I16" s="134">
        <f>[1]Louga!F27</f>
        <v>949.2428343713151</v>
      </c>
      <c r="J16" s="133">
        <f>[1]Louga!G27</f>
        <v>160191.37300000002</v>
      </c>
      <c r="K16" s="131">
        <f>[1]Louga!H27</f>
        <v>5470.9461146924132</v>
      </c>
      <c r="L16" s="134">
        <f>[1]Louga!I27</f>
        <v>16089.931021497068</v>
      </c>
      <c r="M16" s="133">
        <f>[1]Louga!J27</f>
        <v>88027.145607728322</v>
      </c>
      <c r="N16" s="131">
        <f>[1]Louga!K27</f>
        <v>22686</v>
      </c>
      <c r="O16" s="134">
        <f>[1]Louga!L27</f>
        <v>12944.163801463457</v>
      </c>
      <c r="P16" s="133">
        <f>[1]Louga!M27</f>
        <v>293651.3</v>
      </c>
      <c r="Q16" s="131">
        <f>[1]Louga!N27</f>
        <v>45</v>
      </c>
      <c r="R16" s="134">
        <f>[1]Louga!O27</f>
        <v>658</v>
      </c>
      <c r="S16" s="133">
        <f>[1]Louga!P27</f>
        <v>29.61</v>
      </c>
      <c r="T16" s="119"/>
    </row>
    <row r="17" spans="1:20" ht="30" customHeight="1">
      <c r="A17" s="121" t="s">
        <v>51</v>
      </c>
      <c r="B17" s="131">
        <f>'[1]Saint-Louis'!B33</f>
        <v>13264.312397006994</v>
      </c>
      <c r="C17" s="137">
        <f>'[1]Saint-Louis'!C33</f>
        <v>686.08779678660449</v>
      </c>
      <c r="D17" s="132">
        <f>'[1]Saint-Louis'!D33</f>
        <v>9100.4828683517735</v>
      </c>
      <c r="E17" s="131"/>
      <c r="F17" s="137"/>
      <c r="G17" s="132"/>
      <c r="H17" s="131">
        <f>'[1]Saint-Louis'!E33</f>
        <v>7284.0619463109415</v>
      </c>
      <c r="I17" s="137">
        <f>'[1]Saint-Louis'!F33</f>
        <v>460.02830796060113</v>
      </c>
      <c r="J17" s="132">
        <f>'[1]Saint-Louis'!G33</f>
        <v>3350.8746922416253</v>
      </c>
      <c r="K17" s="131">
        <f>'[1]Saint-Louis'!H33</f>
        <v>1620.4451048021051</v>
      </c>
      <c r="L17" s="137">
        <f>'[1]Saint-Louis'!I33</f>
        <v>24710.185943227294</v>
      </c>
      <c r="M17" s="132">
        <f>'[1]Saint-Louis'!J33</f>
        <v>40041.499850452456</v>
      </c>
      <c r="N17" s="131">
        <f>'[1]Saint-Louis'!K33</f>
        <v>2983.9067464992322</v>
      </c>
      <c r="O17" s="137">
        <f>'[1]Saint-Louis'!L33</f>
        <v>12971.795718321946</v>
      </c>
      <c r="P17" s="132">
        <f>'[1]Saint-Louis'!M33</f>
        <v>38706.62875811071</v>
      </c>
      <c r="Q17" s="131"/>
      <c r="R17" s="137"/>
      <c r="S17" s="132"/>
      <c r="T17" s="119"/>
    </row>
    <row r="18" spans="1:20" ht="30" customHeight="1">
      <c r="A18" s="121" t="s">
        <v>52</v>
      </c>
      <c r="B18" s="131">
        <f>[1]Tamba!B33</f>
        <v>100737.63082692472</v>
      </c>
      <c r="C18" s="137">
        <f>[1]Tamba!C33</f>
        <v>1281.2000860499404</v>
      </c>
      <c r="D18" s="132">
        <f>[1]Tamba!D33</f>
        <v>129065.06128392307</v>
      </c>
      <c r="E18" s="131"/>
      <c r="F18" s="137"/>
      <c r="G18" s="132"/>
      <c r="H18" s="131">
        <f>[1]Tamba!H33</f>
        <v>5002</v>
      </c>
      <c r="I18" s="137">
        <f>[1]Tamba!I33</f>
        <v>815.64634146341461</v>
      </c>
      <c r="J18" s="132">
        <f>[1]Tamba!J33</f>
        <v>4079.8630000000003</v>
      </c>
      <c r="K18" s="131">
        <f>[1]Tamba!K33</f>
        <v>894.71150069927387</v>
      </c>
      <c r="L18" s="137">
        <f>[1]Tamba!L33</f>
        <v>13801.236266560818</v>
      </c>
      <c r="M18" s="132">
        <f>[1]Tamba!M33</f>
        <v>12348.124811559872</v>
      </c>
      <c r="N18" s="131">
        <f>[1]Tamba!N33</f>
        <v>4745</v>
      </c>
      <c r="O18" s="137">
        <f>[1]Tamba!O33</f>
        <v>16668.691675447841</v>
      </c>
      <c r="P18" s="132">
        <f>[1]Tamba!P33</f>
        <v>79092.941999999995</v>
      </c>
      <c r="Q18" s="131">
        <f>[1]Tamba!Q33</f>
        <v>3657.7912099884925</v>
      </c>
      <c r="R18" s="134">
        <f>[1]Tamba!R33</f>
        <v>856.6883571417975</v>
      </c>
      <c r="S18" s="134">
        <f>[1]Tamba!S33</f>
        <v>3133.587142452749</v>
      </c>
      <c r="T18" s="119"/>
    </row>
    <row r="19" spans="1:20" ht="30" customHeight="1">
      <c r="A19" s="121" t="s">
        <v>53</v>
      </c>
      <c r="B19" s="131">
        <f>[1]Thiès!B30</f>
        <v>99036.492864036802</v>
      </c>
      <c r="C19" s="137">
        <f>[1]Thiès!C30</f>
        <v>1196.9832320267867</v>
      </c>
      <c r="D19" s="132">
        <f>[1]Thiès!D30</f>
        <v>118545.02131699257</v>
      </c>
      <c r="E19" s="131"/>
      <c r="F19" s="137"/>
      <c r="G19" s="132"/>
      <c r="H19" s="131">
        <f>[1]Thiès!E30</f>
        <v>40234</v>
      </c>
      <c r="I19" s="137">
        <f>[1]Thiès!F30</f>
        <v>914.15725505791124</v>
      </c>
      <c r="J19" s="132">
        <f>[1]Thiès!G30</f>
        <v>36780.203000000001</v>
      </c>
      <c r="K19" s="131">
        <f>[1]Thiès!H30</f>
        <v>60649</v>
      </c>
      <c r="L19" s="137">
        <f>[1]Thiès!I30</f>
        <v>14254.219871720883</v>
      </c>
      <c r="M19" s="132">
        <f>[1]Thiès!J30</f>
        <v>864504.18099999987</v>
      </c>
      <c r="N19" s="131">
        <f>[1]Thiès!K30</f>
        <v>3683</v>
      </c>
      <c r="O19" s="137">
        <f>[1]Thiès!L30</f>
        <v>12348.493076296498</v>
      </c>
      <c r="P19" s="132">
        <f>[1]Thiès!M30</f>
        <v>45479.5</v>
      </c>
      <c r="Q19" s="131">
        <f>[1]Thiès!N30</f>
        <v>149.5</v>
      </c>
      <c r="R19" s="137">
        <f>[1]Thiès!O30</f>
        <v>614.13043478260863</v>
      </c>
      <c r="S19" s="132">
        <f>[1]Thiès!P30</f>
        <v>91.8125</v>
      </c>
      <c r="T19" s="119"/>
    </row>
    <row r="20" spans="1:20" ht="30" customHeight="1">
      <c r="A20" s="121" t="s">
        <v>54</v>
      </c>
      <c r="B20" s="131">
        <f>[1]Ziguinchor!B33</f>
        <v>31277.796113831209</v>
      </c>
      <c r="C20" s="137">
        <f>[1]Ziguinchor!C33</f>
        <v>1362.5346284926693</v>
      </c>
      <c r="D20" s="132">
        <f>[1]Ziguinchor!D33</f>
        <v>42617.080308028468</v>
      </c>
      <c r="E20" s="131"/>
      <c r="F20" s="137"/>
      <c r="G20" s="132"/>
      <c r="H20" s="131">
        <f>[1]Ziguinchor!E33</f>
        <v>1681.5695768206383</v>
      </c>
      <c r="I20" s="137">
        <f>[1]Ziguinchor!F33</f>
        <v>520.23089454981618</v>
      </c>
      <c r="J20" s="132">
        <f>[1]Ziguinchor!G33</f>
        <v>874.80444519715661</v>
      </c>
      <c r="K20" s="131">
        <f>[1]Ziguinchor!H33</f>
        <v>525.61310000000003</v>
      </c>
      <c r="L20" s="137">
        <f>[1]Ziguinchor!I33</f>
        <v>12145.225129524357</v>
      </c>
      <c r="M20" s="132">
        <f>[1]Ziguinchor!J33</f>
        <v>6383.689430527199</v>
      </c>
      <c r="N20" s="131">
        <f>[1]Ziguinchor!K33</f>
        <v>4663.714485916762</v>
      </c>
      <c r="O20" s="137">
        <f>[1]Ziguinchor!L33</f>
        <v>15730.855203570629</v>
      </c>
      <c r="P20" s="132">
        <f>[1]Ziguinchor!M33</f>
        <v>73364.217288751417</v>
      </c>
      <c r="Q20" s="131">
        <f>[1]Ziguinchor!N33</f>
        <v>1024.8926426879689</v>
      </c>
      <c r="R20" s="137">
        <f>[1]Ziguinchor!O33</f>
        <v>685.46164695810569</v>
      </c>
      <c r="S20" s="132">
        <f>[1]Ziguinchor!P33</f>
        <v>702.52459881214054</v>
      </c>
      <c r="T20" s="119"/>
    </row>
    <row r="21" spans="1:20" ht="30" customHeight="1">
      <c r="A21" s="121" t="s">
        <v>55</v>
      </c>
      <c r="B21" s="131">
        <f>[1]Matam!B32</f>
        <v>3230.7710979093545</v>
      </c>
      <c r="C21" s="137">
        <f>[1]Matam!C32</f>
        <v>843.88549906486082</v>
      </c>
      <c r="D21" s="132">
        <f>[1]Matam!D32</f>
        <v>2726.4008803235638</v>
      </c>
      <c r="E21" s="131"/>
      <c r="F21" s="137"/>
      <c r="G21" s="132"/>
      <c r="H21" s="131">
        <f>[1]Matam!E32</f>
        <v>5461.7384616901591</v>
      </c>
      <c r="I21" s="137">
        <f>[1]Matam!F32</f>
        <v>650.83628675730461</v>
      </c>
      <c r="J21" s="132">
        <f>[1]Matam!G32</f>
        <v>3554.6975796459765</v>
      </c>
      <c r="K21" s="131">
        <f>[1]Matam!H32</f>
        <v>377.5</v>
      </c>
      <c r="L21" s="137">
        <f>[1]Matam!I32</f>
        <v>21200.624387417221</v>
      </c>
      <c r="M21" s="132">
        <f>[1]Matam!J32</f>
        <v>8003.2357062500014</v>
      </c>
      <c r="N21" s="131">
        <f>[1]Matam!K32</f>
        <v>1643.281633890067</v>
      </c>
      <c r="O21" s="137">
        <f>[1]Matam!L32</f>
        <v>10060.853841446078</v>
      </c>
      <c r="P21" s="132">
        <f>[1]Matam!M32</f>
        <v>16532.81633890067</v>
      </c>
      <c r="Q21" s="131"/>
      <c r="R21" s="137"/>
      <c r="S21" s="132"/>
      <c r="T21" s="119"/>
    </row>
    <row r="22" spans="1:20" ht="30" customHeight="1">
      <c r="A22" s="121" t="s">
        <v>56</v>
      </c>
      <c r="B22" s="131">
        <f>[1]Kaffrine!B30</f>
        <v>228684.79529999997</v>
      </c>
      <c r="C22" s="137">
        <f>[1]Kaffrine!C30</f>
        <v>1766.8479115484947</v>
      </c>
      <c r="D22" s="132">
        <f>[1]Kaffrine!D30</f>
        <v>404051.25297869998</v>
      </c>
      <c r="E22" s="131"/>
      <c r="F22" s="137"/>
      <c r="G22" s="132"/>
      <c r="H22" s="131">
        <f>[1]Kaffrine!B46</f>
        <v>2808.0780368023306</v>
      </c>
      <c r="I22" s="137">
        <f>[1]Kaffrine!C46</f>
        <v>711.68258177191478</v>
      </c>
      <c r="J22" s="132">
        <f>[1]Kaffrine!D46</f>
        <v>1998.4602270484927</v>
      </c>
      <c r="K22" s="131">
        <f>[1]Kaffrine!H30</f>
        <v>660.39108672046018</v>
      </c>
      <c r="L22" s="137">
        <f>[1]Kaffrine!I30</f>
        <v>9851.6353347775257</v>
      </c>
      <c r="M22" s="132">
        <f>[1]Kaffrine!J30</f>
        <v>6505.9321647074148</v>
      </c>
      <c r="N22" s="131">
        <f>[1]Kaffrine!K30</f>
        <v>9595.9964064929845</v>
      </c>
      <c r="O22" s="137">
        <f>[1]Kaffrine!L30</f>
        <v>34999.999999999993</v>
      </c>
      <c r="P22" s="132">
        <f>[1]Kaffrine!M30</f>
        <v>335859.87422725442</v>
      </c>
      <c r="Q22" s="131">
        <f>[1]Kaffrine!N30</f>
        <v>23173.592513039999</v>
      </c>
      <c r="R22" s="137">
        <f>[1]Kaffrine!O30</f>
        <v>863.99371066234107</v>
      </c>
      <c r="S22" s="132">
        <f>[1]Kaffrine!P30</f>
        <v>20021.838184718476</v>
      </c>
      <c r="T22" s="119"/>
    </row>
    <row r="23" spans="1:20" ht="30" customHeight="1">
      <c r="A23" s="121" t="s">
        <v>57</v>
      </c>
      <c r="B23" s="131">
        <f>[1]Kédougou!B31</f>
        <v>9581.6709449999998</v>
      </c>
      <c r="C23" s="137">
        <f>[1]Kédougou!C31</f>
        <v>1297.9532925947599</v>
      </c>
      <c r="D23" s="138">
        <f>[1]Kédougou!D31</f>
        <v>12436.561351622295</v>
      </c>
      <c r="F23" s="137"/>
      <c r="G23" s="132"/>
      <c r="H23" s="131">
        <f>[1]Kédougou!H31</f>
        <v>564</v>
      </c>
      <c r="I23" s="137">
        <f>[1]Kédougou!I31</f>
        <v>402</v>
      </c>
      <c r="J23" s="132">
        <f>[1]Kédougou!J31</f>
        <v>226.72800000000001</v>
      </c>
      <c r="K23" s="131"/>
      <c r="L23" s="137"/>
      <c r="M23" s="132"/>
      <c r="N23" s="131"/>
      <c r="O23" s="137"/>
      <c r="P23" s="132"/>
      <c r="Q23" s="131"/>
      <c r="R23" s="137"/>
      <c r="S23" s="132"/>
      <c r="T23" s="119"/>
    </row>
    <row r="24" spans="1:20" ht="30" customHeight="1">
      <c r="A24" s="121" t="s">
        <v>58</v>
      </c>
      <c r="B24" s="131">
        <f>[1]Sedhiou!B31</f>
        <v>40319.972845128475</v>
      </c>
      <c r="C24" s="139">
        <f>[1]Sedhiou!C31</f>
        <v>1454.2133429475527</v>
      </c>
      <c r="D24" s="134">
        <f>[1]Sedhiou!D31</f>
        <v>58633.842498668833</v>
      </c>
      <c r="E24" s="131"/>
      <c r="F24" s="139"/>
      <c r="G24" s="134"/>
      <c r="H24" s="131">
        <f>[1]Sedhiou!B46</f>
        <v>1768.1109577007305</v>
      </c>
      <c r="I24" s="139">
        <f>[1]Sedhiou!C46</f>
        <v>631.50067567808458</v>
      </c>
      <c r="J24" s="134">
        <f>[1]Sedhiou!D46</f>
        <v>1116.5632644618365</v>
      </c>
      <c r="K24" s="131">
        <f>[1]Sedhiou!H31</f>
        <v>667.37508126438547</v>
      </c>
      <c r="L24" s="139">
        <f>[1]Sedhiou!I31</f>
        <v>13763.621161110861</v>
      </c>
      <c r="M24" s="134">
        <f>[1]Sedhiou!J31</f>
        <v>9185.4977908885758</v>
      </c>
      <c r="N24" s="131">
        <f>[1]Sedhiou!K31</f>
        <v>1354</v>
      </c>
      <c r="O24" s="139">
        <f>[1]Sedhiou!L31</f>
        <v>15704.800590841951</v>
      </c>
      <c r="P24" s="134">
        <f>[1]Sedhiou!M31</f>
        <v>21264.3</v>
      </c>
      <c r="Q24" s="131">
        <f>[1]Sedhiou!N31</f>
        <v>4908.5630663080174</v>
      </c>
      <c r="R24" s="139">
        <f>[1]Sedhiou!O31</f>
        <v>897.13579904404219</v>
      </c>
      <c r="S24" s="134">
        <f>[1]Sedhiou!P31</f>
        <v>4403.647648650317</v>
      </c>
      <c r="T24" s="119"/>
    </row>
    <row r="25" spans="1:20" ht="30" customHeight="1">
      <c r="A25" s="140"/>
      <c r="B25" s="140"/>
      <c r="C25" s="141"/>
      <c r="D25" s="141"/>
      <c r="E25" s="140"/>
      <c r="F25" s="141"/>
      <c r="G25" s="141"/>
      <c r="H25" s="140"/>
      <c r="I25" s="141"/>
      <c r="J25" s="141"/>
      <c r="K25" s="140"/>
      <c r="L25" s="141"/>
      <c r="M25" s="141"/>
      <c r="N25" s="140"/>
      <c r="O25" s="141"/>
      <c r="P25" s="141"/>
      <c r="Q25" s="140"/>
      <c r="R25" s="141"/>
      <c r="S25" s="141"/>
      <c r="T25" s="119"/>
    </row>
    <row r="26" spans="1:20" ht="30" customHeight="1">
      <c r="A26" s="121" t="s">
        <v>59</v>
      </c>
      <c r="B26" s="120">
        <f>SUM(B11:B24)</f>
        <v>1225081.1498539015</v>
      </c>
      <c r="C26" s="133">
        <f>(D26/B26)*1000</f>
        <v>1467.2384055294237</v>
      </c>
      <c r="D26" s="142">
        <f>SUM(D11:D24)</f>
        <v>1797486.1129557912</v>
      </c>
      <c r="E26" s="120">
        <f>G26*1000/F26</f>
        <v>18083.40807174888</v>
      </c>
      <c r="F26" s="133">
        <v>1115</v>
      </c>
      <c r="G26" s="133">
        <v>20163</v>
      </c>
      <c r="H26" s="120">
        <f>SUM(H11:H24)</f>
        <v>289894.98549490847</v>
      </c>
      <c r="I26" s="133">
        <f>(J26/H26)*1000</f>
        <v>875.8238681680059</v>
      </c>
      <c r="J26" s="133">
        <f>SUM(J11:J24)</f>
        <v>253896.94755865872</v>
      </c>
      <c r="K26" s="120">
        <f>SUM(K11:K24)</f>
        <v>96476.133783544166</v>
      </c>
      <c r="L26" s="133">
        <f>(M26/K26)*1000</f>
        <v>13956.553685526451</v>
      </c>
      <c r="M26" s="133">
        <f>SUM(M11:M24)</f>
        <v>1346474.3405220662</v>
      </c>
      <c r="N26" s="120">
        <f>SUM(N11:N24)</f>
        <v>86564.088145869842</v>
      </c>
      <c r="O26" s="133">
        <f>(P26/N26)*1000</f>
        <v>19378.428395567142</v>
      </c>
      <c r="P26" s="133">
        <f>SUM(P11:P24)</f>
        <v>1677475.9837623013</v>
      </c>
      <c r="Q26" s="120">
        <f>SUM(Q11:Q24)</f>
        <v>44375.058498691142</v>
      </c>
      <c r="R26" s="133">
        <f>(S26/Q26)*1000</f>
        <v>813.75555525255493</v>
      </c>
      <c r="S26" s="133">
        <f t="shared" ref="S26" si="0">SUM(S11:S24)</f>
        <v>36110.450367967016</v>
      </c>
      <c r="T26" s="119"/>
    </row>
    <row r="27" spans="1:20" ht="30" customHeight="1">
      <c r="A27" s="143"/>
      <c r="B27" s="143"/>
      <c r="C27" s="144"/>
      <c r="D27" s="144"/>
      <c r="E27" s="143"/>
      <c r="F27" s="144"/>
      <c r="G27" s="144"/>
      <c r="H27" s="143"/>
      <c r="I27" s="144"/>
      <c r="J27" s="144"/>
      <c r="K27" s="143"/>
      <c r="L27" s="144"/>
      <c r="M27" s="144"/>
      <c r="N27" s="143"/>
      <c r="O27" s="144"/>
      <c r="P27" s="144"/>
      <c r="Q27" s="143"/>
      <c r="R27" s="144"/>
      <c r="S27" s="145"/>
      <c r="T27" s="119"/>
    </row>
    <row r="28" spans="1:20" ht="30" customHeight="1">
      <c r="A28" s="140"/>
      <c r="B28" s="140"/>
      <c r="C28" s="141"/>
      <c r="D28" s="141"/>
      <c r="E28" s="140"/>
      <c r="F28" s="141"/>
      <c r="G28" s="141"/>
      <c r="H28" s="140"/>
      <c r="I28" s="141"/>
      <c r="J28" s="141"/>
      <c r="K28" s="140"/>
      <c r="L28" s="141"/>
      <c r="M28" s="141"/>
      <c r="N28" s="140"/>
      <c r="O28" s="141"/>
      <c r="P28" s="141"/>
      <c r="Q28" s="140"/>
      <c r="R28" s="141"/>
      <c r="S28" s="141"/>
      <c r="T28" s="119"/>
    </row>
    <row r="29" spans="1:20" ht="30" customHeight="1">
      <c r="A29" s="121" t="s">
        <v>60</v>
      </c>
      <c r="B29" s="120">
        <v>1110933.71</v>
      </c>
      <c r="C29" s="133">
        <v>1279.3635634136981</v>
      </c>
      <c r="D29" s="133">
        <v>1421288.1099419999</v>
      </c>
      <c r="E29" s="120">
        <v>16511</v>
      </c>
      <c r="F29" s="133">
        <v>1000</v>
      </c>
      <c r="G29" s="133">
        <v>16511</v>
      </c>
      <c r="H29" s="120">
        <v>290677.38</v>
      </c>
      <c r="I29" s="133">
        <f>(J29/H29)*1000</f>
        <v>633.47392522699897</v>
      </c>
      <c r="J29" s="142">
        <v>184136.54088329998</v>
      </c>
      <c r="K29" s="120">
        <v>94009.8</v>
      </c>
      <c r="L29" s="133">
        <v>10962.606845243792</v>
      </c>
      <c r="M29" s="133">
        <v>1030592.477</v>
      </c>
      <c r="N29" s="120">
        <v>82027.7</v>
      </c>
      <c r="O29" s="133">
        <v>14513.15482452879</v>
      </c>
      <c r="P29" s="133">
        <v>1190480.7100000002</v>
      </c>
      <c r="Q29" s="120">
        <v>41084.699999999997</v>
      </c>
      <c r="R29" s="133">
        <v>591.56641182727401</v>
      </c>
      <c r="S29" s="133">
        <v>24304.328560000002</v>
      </c>
      <c r="T29" s="119"/>
    </row>
    <row r="30" spans="1:20" ht="30" customHeight="1">
      <c r="A30" s="143"/>
      <c r="B30" s="143"/>
      <c r="C30" s="144"/>
      <c r="D30" s="144"/>
      <c r="E30" s="143"/>
      <c r="F30" s="144"/>
      <c r="G30" s="144"/>
      <c r="H30" s="143"/>
      <c r="I30" s="144"/>
      <c r="J30" s="144"/>
      <c r="K30" s="143"/>
      <c r="L30" s="144"/>
      <c r="M30" s="144"/>
      <c r="N30" s="143"/>
      <c r="O30" s="144"/>
      <c r="P30" s="144"/>
      <c r="Q30" s="143"/>
      <c r="R30" s="144"/>
      <c r="S30" s="145"/>
      <c r="T30" s="119"/>
    </row>
    <row r="31" spans="1:20" ht="30" customHeight="1">
      <c r="A31" s="146"/>
      <c r="B31" s="140"/>
      <c r="C31" s="141"/>
      <c r="D31" s="141"/>
      <c r="E31" s="140"/>
      <c r="F31" s="141"/>
      <c r="G31" s="141"/>
      <c r="H31" s="140"/>
      <c r="I31" s="141"/>
      <c r="J31" s="141"/>
      <c r="K31" s="140"/>
      <c r="L31" s="141"/>
      <c r="M31" s="141"/>
      <c r="N31" s="140"/>
      <c r="O31" s="141"/>
      <c r="P31" s="141"/>
      <c r="Q31" s="140"/>
      <c r="R31" s="141"/>
      <c r="S31" s="141"/>
      <c r="T31" s="119"/>
    </row>
    <row r="32" spans="1:20" ht="30" customHeight="1">
      <c r="A32" s="121" t="s">
        <v>61</v>
      </c>
      <c r="B32" s="147">
        <f t="shared" ref="B32:S32" si="1">((B26-B29)/B29)*100</f>
        <v>10.274910089270898</v>
      </c>
      <c r="C32" s="148">
        <f t="shared" si="1"/>
        <v>14.685023670239856</v>
      </c>
      <c r="D32" s="148">
        <f t="shared" si="1"/>
        <v>26.468806738216028</v>
      </c>
      <c r="E32" s="147">
        <f>((E26-E29)/E29)*100</f>
        <v>9.5233969580817615</v>
      </c>
      <c r="F32" s="148">
        <f t="shared" si="1"/>
        <v>11.5</v>
      </c>
      <c r="G32" s="148">
        <f t="shared" si="1"/>
        <v>22.118587608261159</v>
      </c>
      <c r="H32" s="147">
        <f t="shared" si="1"/>
        <v>-0.2691625007393198</v>
      </c>
      <c r="I32" s="148">
        <f t="shared" si="1"/>
        <v>38.257287836143099</v>
      </c>
      <c r="J32" s="148">
        <f t="shared" si="1"/>
        <v>37.885151062748982</v>
      </c>
      <c r="K32" s="147">
        <f t="shared" si="1"/>
        <v>2.623485831843237</v>
      </c>
      <c r="L32" s="148">
        <f t="shared" si="1"/>
        <v>27.310537379907995</v>
      </c>
      <c r="M32" s="148">
        <f t="shared" si="1"/>
        <v>30.650511290513361</v>
      </c>
      <c r="N32" s="147">
        <f t="shared" si="1"/>
        <v>5.5303124991555848</v>
      </c>
      <c r="O32" s="148">
        <f t="shared" si="1"/>
        <v>33.52319760838985</v>
      </c>
      <c r="P32" s="148">
        <f t="shared" si="1"/>
        <v>40.907447694998858</v>
      </c>
      <c r="Q32" s="147">
        <f t="shared" si="1"/>
        <v>8.0087197878800254</v>
      </c>
      <c r="R32" s="148">
        <f t="shared" si="1"/>
        <v>37.559458918393737</v>
      </c>
      <c r="S32" s="148">
        <f t="shared" si="1"/>
        <v>48.576210524891842</v>
      </c>
      <c r="T32" s="119"/>
    </row>
    <row r="33" spans="1:20" ht="30" customHeight="1">
      <c r="A33" s="149"/>
      <c r="B33" s="149"/>
      <c r="C33" s="150"/>
      <c r="D33" s="150"/>
      <c r="E33" s="149"/>
      <c r="F33" s="150"/>
      <c r="G33" s="150"/>
      <c r="H33" s="149"/>
      <c r="I33" s="150"/>
      <c r="J33" s="150"/>
      <c r="K33" s="149"/>
      <c r="L33" s="150"/>
      <c r="M33" s="150"/>
      <c r="N33" s="149"/>
      <c r="O33" s="150"/>
      <c r="P33" s="150"/>
      <c r="Q33" s="149"/>
      <c r="R33" s="150"/>
      <c r="S33" s="150"/>
      <c r="T33" s="119"/>
    </row>
    <row r="34" spans="1:20" ht="30" customHeight="1">
      <c r="A34" s="140"/>
      <c r="B34" s="140"/>
      <c r="C34" s="141"/>
      <c r="D34" s="141"/>
      <c r="E34" s="140"/>
      <c r="F34" s="141"/>
      <c r="G34" s="141"/>
      <c r="H34" s="140"/>
      <c r="I34" s="141"/>
      <c r="J34" s="141"/>
      <c r="K34" s="140"/>
      <c r="L34" s="141"/>
      <c r="M34" s="141"/>
      <c r="N34" s="140"/>
      <c r="O34" s="141"/>
      <c r="P34" s="141"/>
      <c r="Q34" s="140"/>
      <c r="R34" s="141"/>
      <c r="S34" s="141"/>
      <c r="T34" s="119"/>
    </row>
    <row r="35" spans="1:20" s="154" customFormat="1" ht="30" customHeight="1">
      <c r="A35" s="121" t="s">
        <v>62</v>
      </c>
      <c r="B35" s="151">
        <v>1169376.6801332349</v>
      </c>
      <c r="C35" s="152">
        <v>1089.2244623593626</v>
      </c>
      <c r="D35" s="152">
        <v>1273713.6857136991</v>
      </c>
      <c r="E35" s="151">
        <v>21888.052</v>
      </c>
      <c r="F35" s="152">
        <v>795.74963308749432</v>
      </c>
      <c r="G35" s="152">
        <v>17417.409347999997</v>
      </c>
      <c r="H35" s="151">
        <v>219779.73773425436</v>
      </c>
      <c r="I35" s="152">
        <v>571.79971140936698</v>
      </c>
      <c r="J35" s="152">
        <v>125669.99061007301</v>
      </c>
      <c r="K35" s="151">
        <v>69654.335087248604</v>
      </c>
      <c r="L35" s="152">
        <v>11330.721104255765</v>
      </c>
      <c r="M35" s="152">
        <v>789233.84457599057</v>
      </c>
      <c r="N35" s="151">
        <v>47473.065477497097</v>
      </c>
      <c r="O35" s="152">
        <v>15671.480076436357</v>
      </c>
      <c r="P35" s="152">
        <v>743973.19979795441</v>
      </c>
      <c r="Q35" s="151">
        <v>28617.151991076698</v>
      </c>
      <c r="R35" s="152">
        <v>534.18714872354906</v>
      </c>
      <c r="S35" s="152">
        <v>15286.914826701697</v>
      </c>
      <c r="T35" s="153"/>
    </row>
    <row r="36" spans="1:20" ht="30" customHeight="1">
      <c r="A36" s="155"/>
      <c r="B36" s="155"/>
      <c r="C36" s="150"/>
      <c r="D36" s="150"/>
      <c r="E36" s="155"/>
      <c r="F36" s="150"/>
      <c r="G36" s="150"/>
      <c r="H36" s="155"/>
      <c r="I36" s="150"/>
      <c r="J36" s="150"/>
      <c r="K36" s="155"/>
      <c r="L36" s="150"/>
      <c r="M36" s="150"/>
      <c r="N36" s="155"/>
      <c r="O36" s="150"/>
      <c r="P36" s="150"/>
      <c r="Q36" s="155"/>
      <c r="R36" s="150"/>
      <c r="S36" s="150"/>
      <c r="T36" s="119"/>
    </row>
    <row r="37" spans="1:20" ht="32.25" customHeight="1">
      <c r="A37" s="146"/>
      <c r="B37" s="140"/>
      <c r="C37" s="141"/>
      <c r="D37" s="141"/>
      <c r="E37" s="140"/>
      <c r="F37" s="141"/>
      <c r="G37" s="141"/>
      <c r="H37" s="140"/>
      <c r="I37" s="141"/>
      <c r="J37" s="141"/>
      <c r="K37" s="140"/>
      <c r="L37" s="141"/>
      <c r="M37" s="141"/>
      <c r="N37" s="140"/>
      <c r="O37" s="141"/>
      <c r="P37" s="141"/>
      <c r="Q37" s="140"/>
      <c r="R37" s="141"/>
      <c r="S37" s="156"/>
      <c r="T37" s="157"/>
    </row>
    <row r="38" spans="1:20" s="154" customFormat="1" ht="26.25" customHeight="1">
      <c r="A38" s="121" t="s">
        <v>63</v>
      </c>
      <c r="B38" s="158">
        <f t="shared" ref="B38:S38" si="2">((B26-B35)/B35)*100</f>
        <v>4.7636036075492587</v>
      </c>
      <c r="C38" s="159">
        <f t="shared" si="2"/>
        <v>34.704870872184358</v>
      </c>
      <c r="D38" s="159">
        <f t="shared" si="2"/>
        <v>41.12167696059629</v>
      </c>
      <c r="E38" s="158">
        <f>((E26-E35)/E35)*100</f>
        <v>-17.382286592937188</v>
      </c>
      <c r="F38" s="159">
        <f t="shared" si="2"/>
        <v>40.119448836416041</v>
      </c>
      <c r="G38" s="159">
        <f t="shared" si="2"/>
        <v>15.763484667226201</v>
      </c>
      <c r="H38" s="158">
        <f t="shared" si="2"/>
        <v>31.90250770315944</v>
      </c>
      <c r="I38" s="159">
        <f t="shared" si="2"/>
        <v>53.169693984154485</v>
      </c>
      <c r="J38" s="159">
        <f t="shared" si="2"/>
        <v>102.03466740635511</v>
      </c>
      <c r="K38" s="158">
        <f t="shared" si="2"/>
        <v>38.50700557646374</v>
      </c>
      <c r="L38" s="159">
        <f t="shared" si="2"/>
        <v>23.174452509332667</v>
      </c>
      <c r="M38" s="159">
        <f t="shared" si="2"/>
        <v>70.605245805880074</v>
      </c>
      <c r="N38" s="158">
        <f t="shared" si="2"/>
        <v>82.343582145337635</v>
      </c>
      <c r="O38" s="159">
        <f t="shared" si="2"/>
        <v>23.65410478812753</v>
      </c>
      <c r="P38" s="159">
        <f t="shared" si="2"/>
        <v>125.47532414042122</v>
      </c>
      <c r="Q38" s="158">
        <f t="shared" si="2"/>
        <v>55.064551890167188</v>
      </c>
      <c r="R38" s="159">
        <f t="shared" si="2"/>
        <v>52.335292452661996</v>
      </c>
      <c r="S38" s="160">
        <f t="shared" si="2"/>
        <v>136.218038612296</v>
      </c>
    </row>
    <row r="39" spans="1:20" ht="28.5" customHeight="1" thickBot="1">
      <c r="A39" s="161"/>
      <c r="B39" s="161"/>
      <c r="C39" s="162"/>
      <c r="D39" s="162"/>
      <c r="E39" s="161"/>
      <c r="F39" s="162"/>
      <c r="G39" s="162"/>
      <c r="H39" s="161"/>
      <c r="I39" s="162"/>
      <c r="J39" s="162"/>
      <c r="K39" s="161"/>
      <c r="L39" s="162"/>
      <c r="M39" s="162"/>
      <c r="N39" s="161"/>
      <c r="O39" s="162"/>
      <c r="P39" s="162"/>
      <c r="Q39" s="161"/>
      <c r="R39" s="162"/>
      <c r="S39" s="163"/>
    </row>
    <row r="40" spans="1:20" ht="23.25" thickTop="1">
      <c r="A40" s="164"/>
    </row>
    <row r="41" spans="1:20" ht="31.5">
      <c r="A41" s="165" t="s">
        <v>64</v>
      </c>
    </row>
    <row r="42" spans="1:20">
      <c r="G42" s="166"/>
    </row>
    <row r="43" spans="1:20">
      <c r="G43" s="166"/>
    </row>
  </sheetData>
  <mergeCells count="6">
    <mergeCell ref="Q6:S6"/>
    <mergeCell ref="B6:D6"/>
    <mergeCell ref="E6:G6"/>
    <mergeCell ref="H6:J6"/>
    <mergeCell ref="K6:M6"/>
    <mergeCell ref="N6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3"/>
  <sheetViews>
    <sheetView tabSelected="1" workbookViewId="0">
      <selection activeCell="A36" sqref="A36"/>
    </sheetView>
  </sheetViews>
  <sheetFormatPr baseColWidth="10" defaultRowHeight="12.75"/>
  <cols>
    <col min="1" max="1" width="39.140625" style="5" customWidth="1"/>
    <col min="2" max="2" width="13.28515625" style="5" customWidth="1"/>
    <col min="3" max="3" width="11.140625" style="5" customWidth="1"/>
    <col min="4" max="4" width="17" style="5" customWidth="1"/>
    <col min="5" max="9" width="11.140625" style="5" customWidth="1"/>
    <col min="10" max="10" width="14.140625" style="5" customWidth="1"/>
    <col min="11" max="11" width="13" style="7" customWidth="1"/>
    <col min="12" max="12" width="11.140625" style="7" customWidth="1"/>
    <col min="13" max="13" width="12.7109375" style="7" customWidth="1"/>
    <col min="14" max="16" width="11.140625" style="5" customWidth="1"/>
    <col min="17" max="17" width="12.28515625" style="5" customWidth="1"/>
    <col min="18" max="18" width="12.85546875" style="5" customWidth="1"/>
    <col min="19" max="19" width="11.28515625" style="5" customWidth="1"/>
    <col min="20" max="246" width="11.42578125" style="5"/>
    <col min="247" max="247" width="34" style="5" customWidth="1"/>
    <col min="248" max="248" width="12.28515625" style="5" customWidth="1"/>
    <col min="249" max="249" width="9.42578125" style="5" customWidth="1"/>
    <col min="250" max="250" width="11.140625" style="5" customWidth="1"/>
    <col min="251" max="251" width="10.140625" style="5" customWidth="1"/>
    <col min="252" max="254" width="9.7109375" style="5" customWidth="1"/>
    <col min="255" max="255" width="10.140625" style="5" customWidth="1"/>
    <col min="256" max="256" width="11.42578125" style="5" bestFit="1" customWidth="1"/>
    <col min="257" max="257" width="11" style="5" customWidth="1"/>
    <col min="258" max="258" width="9.7109375" style="5" customWidth="1"/>
    <col min="259" max="259" width="11" style="5" customWidth="1"/>
    <col min="260" max="260" width="11.42578125" style="5" customWidth="1"/>
    <col min="261" max="262" width="9.7109375" style="5" customWidth="1"/>
    <col min="263" max="263" width="11.28515625" style="5" customWidth="1"/>
    <col min="264" max="264" width="12.140625" style="5" customWidth="1"/>
    <col min="265" max="265" width="9.7109375" style="5" customWidth="1"/>
    <col min="266" max="266" width="11" style="5" customWidth="1"/>
    <col min="267" max="267" width="8.140625" style="5" customWidth="1"/>
    <col min="268" max="268" width="11" style="5" customWidth="1"/>
    <col min="269" max="269" width="9.85546875" style="5" customWidth="1"/>
    <col min="270" max="270" width="8.85546875" style="5" customWidth="1"/>
    <col min="271" max="502" width="11.42578125" style="5"/>
    <col min="503" max="503" width="34" style="5" customWidth="1"/>
    <col min="504" max="504" width="12.28515625" style="5" customWidth="1"/>
    <col min="505" max="505" width="9.42578125" style="5" customWidth="1"/>
    <col min="506" max="506" width="11.140625" style="5" customWidth="1"/>
    <col min="507" max="507" width="10.140625" style="5" customWidth="1"/>
    <col min="508" max="510" width="9.7109375" style="5" customWidth="1"/>
    <col min="511" max="511" width="10.140625" style="5" customWidth="1"/>
    <col min="512" max="512" width="11.42578125" style="5" bestFit="1" customWidth="1"/>
    <col min="513" max="513" width="11" style="5" customWidth="1"/>
    <col min="514" max="514" width="9.7109375" style="5" customWidth="1"/>
    <col min="515" max="515" width="11" style="5" customWidth="1"/>
    <col min="516" max="516" width="11.42578125" style="5" customWidth="1"/>
    <col min="517" max="518" width="9.7109375" style="5" customWidth="1"/>
    <col min="519" max="519" width="11.28515625" style="5" customWidth="1"/>
    <col min="520" max="520" width="12.140625" style="5" customWidth="1"/>
    <col min="521" max="521" width="9.7109375" style="5" customWidth="1"/>
    <col min="522" max="522" width="11" style="5" customWidth="1"/>
    <col min="523" max="523" width="8.140625" style="5" customWidth="1"/>
    <col min="524" max="524" width="11" style="5" customWidth="1"/>
    <col min="525" max="525" width="9.85546875" style="5" customWidth="1"/>
    <col min="526" max="526" width="8.85546875" style="5" customWidth="1"/>
    <col min="527" max="758" width="11.42578125" style="5"/>
    <col min="759" max="759" width="34" style="5" customWidth="1"/>
    <col min="760" max="760" width="12.28515625" style="5" customWidth="1"/>
    <col min="761" max="761" width="9.42578125" style="5" customWidth="1"/>
    <col min="762" max="762" width="11.140625" style="5" customWidth="1"/>
    <col min="763" max="763" width="10.140625" style="5" customWidth="1"/>
    <col min="764" max="766" width="9.7109375" style="5" customWidth="1"/>
    <col min="767" max="767" width="10.140625" style="5" customWidth="1"/>
    <col min="768" max="768" width="11.42578125" style="5" bestFit="1" customWidth="1"/>
    <col min="769" max="769" width="11" style="5" customWidth="1"/>
    <col min="770" max="770" width="9.7109375" style="5" customWidth="1"/>
    <col min="771" max="771" width="11" style="5" customWidth="1"/>
    <col min="772" max="772" width="11.42578125" style="5" customWidth="1"/>
    <col min="773" max="774" width="9.7109375" style="5" customWidth="1"/>
    <col min="775" max="775" width="11.28515625" style="5" customWidth="1"/>
    <col min="776" max="776" width="12.140625" style="5" customWidth="1"/>
    <col min="777" max="777" width="9.7109375" style="5" customWidth="1"/>
    <col min="778" max="778" width="11" style="5" customWidth="1"/>
    <col min="779" max="779" width="8.140625" style="5" customWidth="1"/>
    <col min="780" max="780" width="11" style="5" customWidth="1"/>
    <col min="781" max="781" width="9.85546875" style="5" customWidth="1"/>
    <col min="782" max="782" width="8.85546875" style="5" customWidth="1"/>
    <col min="783" max="1014" width="11.42578125" style="5"/>
    <col min="1015" max="1015" width="34" style="5" customWidth="1"/>
    <col min="1016" max="1016" width="12.28515625" style="5" customWidth="1"/>
    <col min="1017" max="1017" width="9.42578125" style="5" customWidth="1"/>
    <col min="1018" max="1018" width="11.140625" style="5" customWidth="1"/>
    <col min="1019" max="1019" width="10.140625" style="5" customWidth="1"/>
    <col min="1020" max="1022" width="9.7109375" style="5" customWidth="1"/>
    <col min="1023" max="1023" width="10.140625" style="5" customWidth="1"/>
    <col min="1024" max="1024" width="11.42578125" style="5" bestFit="1" customWidth="1"/>
    <col min="1025" max="1025" width="11" style="5" customWidth="1"/>
    <col min="1026" max="1026" width="9.7109375" style="5" customWidth="1"/>
    <col min="1027" max="1027" width="11" style="5" customWidth="1"/>
    <col min="1028" max="1028" width="11.42578125" style="5" customWidth="1"/>
    <col min="1029" max="1030" width="9.7109375" style="5" customWidth="1"/>
    <col min="1031" max="1031" width="11.28515625" style="5" customWidth="1"/>
    <col min="1032" max="1032" width="12.140625" style="5" customWidth="1"/>
    <col min="1033" max="1033" width="9.7109375" style="5" customWidth="1"/>
    <col min="1034" max="1034" width="11" style="5" customWidth="1"/>
    <col min="1035" max="1035" width="8.140625" style="5" customWidth="1"/>
    <col min="1036" max="1036" width="11" style="5" customWidth="1"/>
    <col min="1037" max="1037" width="9.85546875" style="5" customWidth="1"/>
    <col min="1038" max="1038" width="8.85546875" style="5" customWidth="1"/>
    <col min="1039" max="1270" width="11.42578125" style="5"/>
    <col min="1271" max="1271" width="34" style="5" customWidth="1"/>
    <col min="1272" max="1272" width="12.28515625" style="5" customWidth="1"/>
    <col min="1273" max="1273" width="9.42578125" style="5" customWidth="1"/>
    <col min="1274" max="1274" width="11.140625" style="5" customWidth="1"/>
    <col min="1275" max="1275" width="10.140625" style="5" customWidth="1"/>
    <col min="1276" max="1278" width="9.7109375" style="5" customWidth="1"/>
    <col min="1279" max="1279" width="10.140625" style="5" customWidth="1"/>
    <col min="1280" max="1280" width="11.42578125" style="5" bestFit="1" customWidth="1"/>
    <col min="1281" max="1281" width="11" style="5" customWidth="1"/>
    <col min="1282" max="1282" width="9.7109375" style="5" customWidth="1"/>
    <col min="1283" max="1283" width="11" style="5" customWidth="1"/>
    <col min="1284" max="1284" width="11.42578125" style="5" customWidth="1"/>
    <col min="1285" max="1286" width="9.7109375" style="5" customWidth="1"/>
    <col min="1287" max="1287" width="11.28515625" style="5" customWidth="1"/>
    <col min="1288" max="1288" width="12.140625" style="5" customWidth="1"/>
    <col min="1289" max="1289" width="9.7109375" style="5" customWidth="1"/>
    <col min="1290" max="1290" width="11" style="5" customWidth="1"/>
    <col min="1291" max="1291" width="8.140625" style="5" customWidth="1"/>
    <col min="1292" max="1292" width="11" style="5" customWidth="1"/>
    <col min="1293" max="1293" width="9.85546875" style="5" customWidth="1"/>
    <col min="1294" max="1294" width="8.85546875" style="5" customWidth="1"/>
    <col min="1295" max="1526" width="11.42578125" style="5"/>
    <col min="1527" max="1527" width="34" style="5" customWidth="1"/>
    <col min="1528" max="1528" width="12.28515625" style="5" customWidth="1"/>
    <col min="1529" max="1529" width="9.42578125" style="5" customWidth="1"/>
    <col min="1530" max="1530" width="11.140625" style="5" customWidth="1"/>
    <col min="1531" max="1531" width="10.140625" style="5" customWidth="1"/>
    <col min="1532" max="1534" width="9.7109375" style="5" customWidth="1"/>
    <col min="1535" max="1535" width="10.140625" style="5" customWidth="1"/>
    <col min="1536" max="1536" width="11.42578125" style="5" bestFit="1" customWidth="1"/>
    <col min="1537" max="1537" width="11" style="5" customWidth="1"/>
    <col min="1538" max="1538" width="9.7109375" style="5" customWidth="1"/>
    <col min="1539" max="1539" width="11" style="5" customWidth="1"/>
    <col min="1540" max="1540" width="11.42578125" style="5" customWidth="1"/>
    <col min="1541" max="1542" width="9.7109375" style="5" customWidth="1"/>
    <col min="1543" max="1543" width="11.28515625" style="5" customWidth="1"/>
    <col min="1544" max="1544" width="12.140625" style="5" customWidth="1"/>
    <col min="1545" max="1545" width="9.7109375" style="5" customWidth="1"/>
    <col min="1546" max="1546" width="11" style="5" customWidth="1"/>
    <col min="1547" max="1547" width="8.140625" style="5" customWidth="1"/>
    <col min="1548" max="1548" width="11" style="5" customWidth="1"/>
    <col min="1549" max="1549" width="9.85546875" style="5" customWidth="1"/>
    <col min="1550" max="1550" width="8.85546875" style="5" customWidth="1"/>
    <col min="1551" max="1782" width="11.42578125" style="5"/>
    <col min="1783" max="1783" width="34" style="5" customWidth="1"/>
    <col min="1784" max="1784" width="12.28515625" style="5" customWidth="1"/>
    <col min="1785" max="1785" width="9.42578125" style="5" customWidth="1"/>
    <col min="1786" max="1786" width="11.140625" style="5" customWidth="1"/>
    <col min="1787" max="1787" width="10.140625" style="5" customWidth="1"/>
    <col min="1788" max="1790" width="9.7109375" style="5" customWidth="1"/>
    <col min="1791" max="1791" width="10.140625" style="5" customWidth="1"/>
    <col min="1792" max="1792" width="11.42578125" style="5" bestFit="1" customWidth="1"/>
    <col min="1793" max="1793" width="11" style="5" customWidth="1"/>
    <col min="1794" max="1794" width="9.7109375" style="5" customWidth="1"/>
    <col min="1795" max="1795" width="11" style="5" customWidth="1"/>
    <col min="1796" max="1796" width="11.42578125" style="5" customWidth="1"/>
    <col min="1797" max="1798" width="9.7109375" style="5" customWidth="1"/>
    <col min="1799" max="1799" width="11.28515625" style="5" customWidth="1"/>
    <col min="1800" max="1800" width="12.140625" style="5" customWidth="1"/>
    <col min="1801" max="1801" width="9.7109375" style="5" customWidth="1"/>
    <col min="1802" max="1802" width="11" style="5" customWidth="1"/>
    <col min="1803" max="1803" width="8.140625" style="5" customWidth="1"/>
    <col min="1804" max="1804" width="11" style="5" customWidth="1"/>
    <col min="1805" max="1805" width="9.85546875" style="5" customWidth="1"/>
    <col min="1806" max="1806" width="8.85546875" style="5" customWidth="1"/>
    <col min="1807" max="2038" width="11.42578125" style="5"/>
    <col min="2039" max="2039" width="34" style="5" customWidth="1"/>
    <col min="2040" max="2040" width="12.28515625" style="5" customWidth="1"/>
    <col min="2041" max="2041" width="9.42578125" style="5" customWidth="1"/>
    <col min="2042" max="2042" width="11.140625" style="5" customWidth="1"/>
    <col min="2043" max="2043" width="10.140625" style="5" customWidth="1"/>
    <col min="2044" max="2046" width="9.7109375" style="5" customWidth="1"/>
    <col min="2047" max="2047" width="10.140625" style="5" customWidth="1"/>
    <col min="2048" max="2048" width="11.42578125" style="5" bestFit="1" customWidth="1"/>
    <col min="2049" max="2049" width="11" style="5" customWidth="1"/>
    <col min="2050" max="2050" width="9.7109375" style="5" customWidth="1"/>
    <col min="2051" max="2051" width="11" style="5" customWidth="1"/>
    <col min="2052" max="2052" width="11.42578125" style="5" customWidth="1"/>
    <col min="2053" max="2054" width="9.7109375" style="5" customWidth="1"/>
    <col min="2055" max="2055" width="11.28515625" style="5" customWidth="1"/>
    <col min="2056" max="2056" width="12.140625" style="5" customWidth="1"/>
    <col min="2057" max="2057" width="9.7109375" style="5" customWidth="1"/>
    <col min="2058" max="2058" width="11" style="5" customWidth="1"/>
    <col min="2059" max="2059" width="8.140625" style="5" customWidth="1"/>
    <col min="2060" max="2060" width="11" style="5" customWidth="1"/>
    <col min="2061" max="2061" width="9.85546875" style="5" customWidth="1"/>
    <col min="2062" max="2062" width="8.85546875" style="5" customWidth="1"/>
    <col min="2063" max="2294" width="11.42578125" style="5"/>
    <col min="2295" max="2295" width="34" style="5" customWidth="1"/>
    <col min="2296" max="2296" width="12.28515625" style="5" customWidth="1"/>
    <col min="2297" max="2297" width="9.42578125" style="5" customWidth="1"/>
    <col min="2298" max="2298" width="11.140625" style="5" customWidth="1"/>
    <col min="2299" max="2299" width="10.140625" style="5" customWidth="1"/>
    <col min="2300" max="2302" width="9.7109375" style="5" customWidth="1"/>
    <col min="2303" max="2303" width="10.140625" style="5" customWidth="1"/>
    <col min="2304" max="2304" width="11.42578125" style="5" bestFit="1" customWidth="1"/>
    <col min="2305" max="2305" width="11" style="5" customWidth="1"/>
    <col min="2306" max="2306" width="9.7109375" style="5" customWidth="1"/>
    <col min="2307" max="2307" width="11" style="5" customWidth="1"/>
    <col min="2308" max="2308" width="11.42578125" style="5" customWidth="1"/>
    <col min="2309" max="2310" width="9.7109375" style="5" customWidth="1"/>
    <col min="2311" max="2311" width="11.28515625" style="5" customWidth="1"/>
    <col min="2312" max="2312" width="12.140625" style="5" customWidth="1"/>
    <col min="2313" max="2313" width="9.7109375" style="5" customWidth="1"/>
    <col min="2314" max="2314" width="11" style="5" customWidth="1"/>
    <col min="2315" max="2315" width="8.140625" style="5" customWidth="1"/>
    <col min="2316" max="2316" width="11" style="5" customWidth="1"/>
    <col min="2317" max="2317" width="9.85546875" style="5" customWidth="1"/>
    <col min="2318" max="2318" width="8.85546875" style="5" customWidth="1"/>
    <col min="2319" max="2550" width="11.42578125" style="5"/>
    <col min="2551" max="2551" width="34" style="5" customWidth="1"/>
    <col min="2552" max="2552" width="12.28515625" style="5" customWidth="1"/>
    <col min="2553" max="2553" width="9.42578125" style="5" customWidth="1"/>
    <col min="2554" max="2554" width="11.140625" style="5" customWidth="1"/>
    <col min="2555" max="2555" width="10.140625" style="5" customWidth="1"/>
    <col min="2556" max="2558" width="9.7109375" style="5" customWidth="1"/>
    <col min="2559" max="2559" width="10.140625" style="5" customWidth="1"/>
    <col min="2560" max="2560" width="11.42578125" style="5" bestFit="1" customWidth="1"/>
    <col min="2561" max="2561" width="11" style="5" customWidth="1"/>
    <col min="2562" max="2562" width="9.7109375" style="5" customWidth="1"/>
    <col min="2563" max="2563" width="11" style="5" customWidth="1"/>
    <col min="2564" max="2564" width="11.42578125" style="5" customWidth="1"/>
    <col min="2565" max="2566" width="9.7109375" style="5" customWidth="1"/>
    <col min="2567" max="2567" width="11.28515625" style="5" customWidth="1"/>
    <col min="2568" max="2568" width="12.140625" style="5" customWidth="1"/>
    <col min="2569" max="2569" width="9.7109375" style="5" customWidth="1"/>
    <col min="2570" max="2570" width="11" style="5" customWidth="1"/>
    <col min="2571" max="2571" width="8.140625" style="5" customWidth="1"/>
    <col min="2572" max="2572" width="11" style="5" customWidth="1"/>
    <col min="2573" max="2573" width="9.85546875" style="5" customWidth="1"/>
    <col min="2574" max="2574" width="8.85546875" style="5" customWidth="1"/>
    <col min="2575" max="2806" width="11.42578125" style="5"/>
    <col min="2807" max="2807" width="34" style="5" customWidth="1"/>
    <col min="2808" max="2808" width="12.28515625" style="5" customWidth="1"/>
    <col min="2809" max="2809" width="9.42578125" style="5" customWidth="1"/>
    <col min="2810" max="2810" width="11.140625" style="5" customWidth="1"/>
    <col min="2811" max="2811" width="10.140625" style="5" customWidth="1"/>
    <col min="2812" max="2814" width="9.7109375" style="5" customWidth="1"/>
    <col min="2815" max="2815" width="10.140625" style="5" customWidth="1"/>
    <col min="2816" max="2816" width="11.42578125" style="5" bestFit="1" customWidth="1"/>
    <col min="2817" max="2817" width="11" style="5" customWidth="1"/>
    <col min="2818" max="2818" width="9.7109375" style="5" customWidth="1"/>
    <col min="2819" max="2819" width="11" style="5" customWidth="1"/>
    <col min="2820" max="2820" width="11.42578125" style="5" customWidth="1"/>
    <col min="2821" max="2822" width="9.7109375" style="5" customWidth="1"/>
    <col min="2823" max="2823" width="11.28515625" style="5" customWidth="1"/>
    <col min="2824" max="2824" width="12.140625" style="5" customWidth="1"/>
    <col min="2825" max="2825" width="9.7109375" style="5" customWidth="1"/>
    <col min="2826" max="2826" width="11" style="5" customWidth="1"/>
    <col min="2827" max="2827" width="8.140625" style="5" customWidth="1"/>
    <col min="2828" max="2828" width="11" style="5" customWidth="1"/>
    <col min="2829" max="2829" width="9.85546875" style="5" customWidth="1"/>
    <col min="2830" max="2830" width="8.85546875" style="5" customWidth="1"/>
    <col min="2831" max="3062" width="11.42578125" style="5"/>
    <col min="3063" max="3063" width="34" style="5" customWidth="1"/>
    <col min="3064" max="3064" width="12.28515625" style="5" customWidth="1"/>
    <col min="3065" max="3065" width="9.42578125" style="5" customWidth="1"/>
    <col min="3066" max="3066" width="11.140625" style="5" customWidth="1"/>
    <col min="3067" max="3067" width="10.140625" style="5" customWidth="1"/>
    <col min="3068" max="3070" width="9.7109375" style="5" customWidth="1"/>
    <col min="3071" max="3071" width="10.140625" style="5" customWidth="1"/>
    <col min="3072" max="3072" width="11.42578125" style="5" bestFit="1" customWidth="1"/>
    <col min="3073" max="3073" width="11" style="5" customWidth="1"/>
    <col min="3074" max="3074" width="9.7109375" style="5" customWidth="1"/>
    <col min="3075" max="3075" width="11" style="5" customWidth="1"/>
    <col min="3076" max="3076" width="11.42578125" style="5" customWidth="1"/>
    <col min="3077" max="3078" width="9.7109375" style="5" customWidth="1"/>
    <col min="3079" max="3079" width="11.28515625" style="5" customWidth="1"/>
    <col min="3080" max="3080" width="12.140625" style="5" customWidth="1"/>
    <col min="3081" max="3081" width="9.7109375" style="5" customWidth="1"/>
    <col min="3082" max="3082" width="11" style="5" customWidth="1"/>
    <col min="3083" max="3083" width="8.140625" style="5" customWidth="1"/>
    <col min="3084" max="3084" width="11" style="5" customWidth="1"/>
    <col min="3085" max="3085" width="9.85546875" style="5" customWidth="1"/>
    <col min="3086" max="3086" width="8.85546875" style="5" customWidth="1"/>
    <col min="3087" max="3318" width="11.42578125" style="5"/>
    <col min="3319" max="3319" width="34" style="5" customWidth="1"/>
    <col min="3320" max="3320" width="12.28515625" style="5" customWidth="1"/>
    <col min="3321" max="3321" width="9.42578125" style="5" customWidth="1"/>
    <col min="3322" max="3322" width="11.140625" style="5" customWidth="1"/>
    <col min="3323" max="3323" width="10.140625" style="5" customWidth="1"/>
    <col min="3324" max="3326" width="9.7109375" style="5" customWidth="1"/>
    <col min="3327" max="3327" width="10.140625" style="5" customWidth="1"/>
    <col min="3328" max="3328" width="11.42578125" style="5" bestFit="1" customWidth="1"/>
    <col min="3329" max="3329" width="11" style="5" customWidth="1"/>
    <col min="3330" max="3330" width="9.7109375" style="5" customWidth="1"/>
    <col min="3331" max="3331" width="11" style="5" customWidth="1"/>
    <col min="3332" max="3332" width="11.42578125" style="5" customWidth="1"/>
    <col min="3333" max="3334" width="9.7109375" style="5" customWidth="1"/>
    <col min="3335" max="3335" width="11.28515625" style="5" customWidth="1"/>
    <col min="3336" max="3336" width="12.140625" style="5" customWidth="1"/>
    <col min="3337" max="3337" width="9.7109375" style="5" customWidth="1"/>
    <col min="3338" max="3338" width="11" style="5" customWidth="1"/>
    <col min="3339" max="3339" width="8.140625" style="5" customWidth="1"/>
    <col min="3340" max="3340" width="11" style="5" customWidth="1"/>
    <col min="3341" max="3341" width="9.85546875" style="5" customWidth="1"/>
    <col min="3342" max="3342" width="8.85546875" style="5" customWidth="1"/>
    <col min="3343" max="3574" width="11.42578125" style="5"/>
    <col min="3575" max="3575" width="34" style="5" customWidth="1"/>
    <col min="3576" max="3576" width="12.28515625" style="5" customWidth="1"/>
    <col min="3577" max="3577" width="9.42578125" style="5" customWidth="1"/>
    <col min="3578" max="3578" width="11.140625" style="5" customWidth="1"/>
    <col min="3579" max="3579" width="10.140625" style="5" customWidth="1"/>
    <col min="3580" max="3582" width="9.7109375" style="5" customWidth="1"/>
    <col min="3583" max="3583" width="10.140625" style="5" customWidth="1"/>
    <col min="3584" max="3584" width="11.42578125" style="5" bestFit="1" customWidth="1"/>
    <col min="3585" max="3585" width="11" style="5" customWidth="1"/>
    <col min="3586" max="3586" width="9.7109375" style="5" customWidth="1"/>
    <col min="3587" max="3587" width="11" style="5" customWidth="1"/>
    <col min="3588" max="3588" width="11.42578125" style="5" customWidth="1"/>
    <col min="3589" max="3590" width="9.7109375" style="5" customWidth="1"/>
    <col min="3591" max="3591" width="11.28515625" style="5" customWidth="1"/>
    <col min="3592" max="3592" width="12.140625" style="5" customWidth="1"/>
    <col min="3593" max="3593" width="9.7109375" style="5" customWidth="1"/>
    <col min="3594" max="3594" width="11" style="5" customWidth="1"/>
    <col min="3595" max="3595" width="8.140625" style="5" customWidth="1"/>
    <col min="3596" max="3596" width="11" style="5" customWidth="1"/>
    <col min="3597" max="3597" width="9.85546875" style="5" customWidth="1"/>
    <col min="3598" max="3598" width="8.85546875" style="5" customWidth="1"/>
    <col min="3599" max="3830" width="11.42578125" style="5"/>
    <col min="3831" max="3831" width="34" style="5" customWidth="1"/>
    <col min="3832" max="3832" width="12.28515625" style="5" customWidth="1"/>
    <col min="3833" max="3833" width="9.42578125" style="5" customWidth="1"/>
    <col min="3834" max="3834" width="11.140625" style="5" customWidth="1"/>
    <col min="3835" max="3835" width="10.140625" style="5" customWidth="1"/>
    <col min="3836" max="3838" width="9.7109375" style="5" customWidth="1"/>
    <col min="3839" max="3839" width="10.140625" style="5" customWidth="1"/>
    <col min="3840" max="3840" width="11.42578125" style="5" bestFit="1" customWidth="1"/>
    <col min="3841" max="3841" width="11" style="5" customWidth="1"/>
    <col min="3842" max="3842" width="9.7109375" style="5" customWidth="1"/>
    <col min="3843" max="3843" width="11" style="5" customWidth="1"/>
    <col min="3844" max="3844" width="11.42578125" style="5" customWidth="1"/>
    <col min="3845" max="3846" width="9.7109375" style="5" customWidth="1"/>
    <col min="3847" max="3847" width="11.28515625" style="5" customWidth="1"/>
    <col min="3848" max="3848" width="12.140625" style="5" customWidth="1"/>
    <col min="3849" max="3849" width="9.7109375" style="5" customWidth="1"/>
    <col min="3850" max="3850" width="11" style="5" customWidth="1"/>
    <col min="3851" max="3851" width="8.140625" style="5" customWidth="1"/>
    <col min="3852" max="3852" width="11" style="5" customWidth="1"/>
    <col min="3853" max="3853" width="9.85546875" style="5" customWidth="1"/>
    <col min="3854" max="3854" width="8.85546875" style="5" customWidth="1"/>
    <col min="3855" max="4086" width="11.42578125" style="5"/>
    <col min="4087" max="4087" width="34" style="5" customWidth="1"/>
    <col min="4088" max="4088" width="12.28515625" style="5" customWidth="1"/>
    <col min="4089" max="4089" width="9.42578125" style="5" customWidth="1"/>
    <col min="4090" max="4090" width="11.140625" style="5" customWidth="1"/>
    <col min="4091" max="4091" width="10.140625" style="5" customWidth="1"/>
    <col min="4092" max="4094" width="9.7109375" style="5" customWidth="1"/>
    <col min="4095" max="4095" width="10.140625" style="5" customWidth="1"/>
    <col min="4096" max="4096" width="11.42578125" style="5" bestFit="1" customWidth="1"/>
    <col min="4097" max="4097" width="11" style="5" customWidth="1"/>
    <col min="4098" max="4098" width="9.7109375" style="5" customWidth="1"/>
    <col min="4099" max="4099" width="11" style="5" customWidth="1"/>
    <col min="4100" max="4100" width="11.42578125" style="5" customWidth="1"/>
    <col min="4101" max="4102" width="9.7109375" style="5" customWidth="1"/>
    <col min="4103" max="4103" width="11.28515625" style="5" customWidth="1"/>
    <col min="4104" max="4104" width="12.140625" style="5" customWidth="1"/>
    <col min="4105" max="4105" width="9.7109375" style="5" customWidth="1"/>
    <col min="4106" max="4106" width="11" style="5" customWidth="1"/>
    <col min="4107" max="4107" width="8.140625" style="5" customWidth="1"/>
    <col min="4108" max="4108" width="11" style="5" customWidth="1"/>
    <col min="4109" max="4109" width="9.85546875" style="5" customWidth="1"/>
    <col min="4110" max="4110" width="8.85546875" style="5" customWidth="1"/>
    <col min="4111" max="4342" width="11.42578125" style="5"/>
    <col min="4343" max="4343" width="34" style="5" customWidth="1"/>
    <col min="4344" max="4344" width="12.28515625" style="5" customWidth="1"/>
    <col min="4345" max="4345" width="9.42578125" style="5" customWidth="1"/>
    <col min="4346" max="4346" width="11.140625" style="5" customWidth="1"/>
    <col min="4347" max="4347" width="10.140625" style="5" customWidth="1"/>
    <col min="4348" max="4350" width="9.7109375" style="5" customWidth="1"/>
    <col min="4351" max="4351" width="10.140625" style="5" customWidth="1"/>
    <col min="4352" max="4352" width="11.42578125" style="5" bestFit="1" customWidth="1"/>
    <col min="4353" max="4353" width="11" style="5" customWidth="1"/>
    <col min="4354" max="4354" width="9.7109375" style="5" customWidth="1"/>
    <col min="4355" max="4355" width="11" style="5" customWidth="1"/>
    <col min="4356" max="4356" width="11.42578125" style="5" customWidth="1"/>
    <col min="4357" max="4358" width="9.7109375" style="5" customWidth="1"/>
    <col min="4359" max="4359" width="11.28515625" style="5" customWidth="1"/>
    <col min="4360" max="4360" width="12.140625" style="5" customWidth="1"/>
    <col min="4361" max="4361" width="9.7109375" style="5" customWidth="1"/>
    <col min="4362" max="4362" width="11" style="5" customWidth="1"/>
    <col min="4363" max="4363" width="8.140625" style="5" customWidth="1"/>
    <col min="4364" max="4364" width="11" style="5" customWidth="1"/>
    <col min="4365" max="4365" width="9.85546875" style="5" customWidth="1"/>
    <col min="4366" max="4366" width="8.85546875" style="5" customWidth="1"/>
    <col min="4367" max="4598" width="11.42578125" style="5"/>
    <col min="4599" max="4599" width="34" style="5" customWidth="1"/>
    <col min="4600" max="4600" width="12.28515625" style="5" customWidth="1"/>
    <col min="4601" max="4601" width="9.42578125" style="5" customWidth="1"/>
    <col min="4602" max="4602" width="11.140625" style="5" customWidth="1"/>
    <col min="4603" max="4603" width="10.140625" style="5" customWidth="1"/>
    <col min="4604" max="4606" width="9.7109375" style="5" customWidth="1"/>
    <col min="4607" max="4607" width="10.140625" style="5" customWidth="1"/>
    <col min="4608" max="4608" width="11.42578125" style="5" bestFit="1" customWidth="1"/>
    <col min="4609" max="4609" width="11" style="5" customWidth="1"/>
    <col min="4610" max="4610" width="9.7109375" style="5" customWidth="1"/>
    <col min="4611" max="4611" width="11" style="5" customWidth="1"/>
    <col min="4612" max="4612" width="11.42578125" style="5" customWidth="1"/>
    <col min="4613" max="4614" width="9.7109375" style="5" customWidth="1"/>
    <col min="4615" max="4615" width="11.28515625" style="5" customWidth="1"/>
    <col min="4616" max="4616" width="12.140625" style="5" customWidth="1"/>
    <col min="4617" max="4617" width="9.7109375" style="5" customWidth="1"/>
    <col min="4618" max="4618" width="11" style="5" customWidth="1"/>
    <col min="4619" max="4619" width="8.140625" style="5" customWidth="1"/>
    <col min="4620" max="4620" width="11" style="5" customWidth="1"/>
    <col min="4621" max="4621" width="9.85546875" style="5" customWidth="1"/>
    <col min="4622" max="4622" width="8.85546875" style="5" customWidth="1"/>
    <col min="4623" max="4854" width="11.42578125" style="5"/>
    <col min="4855" max="4855" width="34" style="5" customWidth="1"/>
    <col min="4856" max="4856" width="12.28515625" style="5" customWidth="1"/>
    <col min="4857" max="4857" width="9.42578125" style="5" customWidth="1"/>
    <col min="4858" max="4858" width="11.140625" style="5" customWidth="1"/>
    <col min="4859" max="4859" width="10.140625" style="5" customWidth="1"/>
    <col min="4860" max="4862" width="9.7109375" style="5" customWidth="1"/>
    <col min="4863" max="4863" width="10.140625" style="5" customWidth="1"/>
    <col min="4864" max="4864" width="11.42578125" style="5" bestFit="1" customWidth="1"/>
    <col min="4865" max="4865" width="11" style="5" customWidth="1"/>
    <col min="4866" max="4866" width="9.7109375" style="5" customWidth="1"/>
    <col min="4867" max="4867" width="11" style="5" customWidth="1"/>
    <col min="4868" max="4868" width="11.42578125" style="5" customWidth="1"/>
    <col min="4869" max="4870" width="9.7109375" style="5" customWidth="1"/>
    <col min="4871" max="4871" width="11.28515625" style="5" customWidth="1"/>
    <col min="4872" max="4872" width="12.140625" style="5" customWidth="1"/>
    <col min="4873" max="4873" width="9.7109375" style="5" customWidth="1"/>
    <col min="4874" max="4874" width="11" style="5" customWidth="1"/>
    <col min="4875" max="4875" width="8.140625" style="5" customWidth="1"/>
    <col min="4876" max="4876" width="11" style="5" customWidth="1"/>
    <col min="4877" max="4877" width="9.85546875" style="5" customWidth="1"/>
    <col min="4878" max="4878" width="8.85546875" style="5" customWidth="1"/>
    <col min="4879" max="5110" width="11.42578125" style="5"/>
    <col min="5111" max="5111" width="34" style="5" customWidth="1"/>
    <col min="5112" max="5112" width="12.28515625" style="5" customWidth="1"/>
    <col min="5113" max="5113" width="9.42578125" style="5" customWidth="1"/>
    <col min="5114" max="5114" width="11.140625" style="5" customWidth="1"/>
    <col min="5115" max="5115" width="10.140625" style="5" customWidth="1"/>
    <col min="5116" max="5118" width="9.7109375" style="5" customWidth="1"/>
    <col min="5119" max="5119" width="10.140625" style="5" customWidth="1"/>
    <col min="5120" max="5120" width="11.42578125" style="5" bestFit="1" customWidth="1"/>
    <col min="5121" max="5121" width="11" style="5" customWidth="1"/>
    <col min="5122" max="5122" width="9.7109375" style="5" customWidth="1"/>
    <col min="5123" max="5123" width="11" style="5" customWidth="1"/>
    <col min="5124" max="5124" width="11.42578125" style="5" customWidth="1"/>
    <col min="5125" max="5126" width="9.7109375" style="5" customWidth="1"/>
    <col min="5127" max="5127" width="11.28515625" style="5" customWidth="1"/>
    <col min="5128" max="5128" width="12.140625" style="5" customWidth="1"/>
    <col min="5129" max="5129" width="9.7109375" style="5" customWidth="1"/>
    <col min="5130" max="5130" width="11" style="5" customWidth="1"/>
    <col min="5131" max="5131" width="8.140625" style="5" customWidth="1"/>
    <col min="5132" max="5132" width="11" style="5" customWidth="1"/>
    <col min="5133" max="5133" width="9.85546875" style="5" customWidth="1"/>
    <col min="5134" max="5134" width="8.85546875" style="5" customWidth="1"/>
    <col min="5135" max="5366" width="11.42578125" style="5"/>
    <col min="5367" max="5367" width="34" style="5" customWidth="1"/>
    <col min="5368" max="5368" width="12.28515625" style="5" customWidth="1"/>
    <col min="5369" max="5369" width="9.42578125" style="5" customWidth="1"/>
    <col min="5370" max="5370" width="11.140625" style="5" customWidth="1"/>
    <col min="5371" max="5371" width="10.140625" style="5" customWidth="1"/>
    <col min="5372" max="5374" width="9.7109375" style="5" customWidth="1"/>
    <col min="5375" max="5375" width="10.140625" style="5" customWidth="1"/>
    <col min="5376" max="5376" width="11.42578125" style="5" bestFit="1" customWidth="1"/>
    <col min="5377" max="5377" width="11" style="5" customWidth="1"/>
    <col min="5378" max="5378" width="9.7109375" style="5" customWidth="1"/>
    <col min="5379" max="5379" width="11" style="5" customWidth="1"/>
    <col min="5380" max="5380" width="11.42578125" style="5" customWidth="1"/>
    <col min="5381" max="5382" width="9.7109375" style="5" customWidth="1"/>
    <col min="5383" max="5383" width="11.28515625" style="5" customWidth="1"/>
    <col min="5384" max="5384" width="12.140625" style="5" customWidth="1"/>
    <col min="5385" max="5385" width="9.7109375" style="5" customWidth="1"/>
    <col min="5386" max="5386" width="11" style="5" customWidth="1"/>
    <col min="5387" max="5387" width="8.140625" style="5" customWidth="1"/>
    <col min="5388" max="5388" width="11" style="5" customWidth="1"/>
    <col min="5389" max="5389" width="9.85546875" style="5" customWidth="1"/>
    <col min="5390" max="5390" width="8.85546875" style="5" customWidth="1"/>
    <col min="5391" max="5622" width="11.42578125" style="5"/>
    <col min="5623" max="5623" width="34" style="5" customWidth="1"/>
    <col min="5624" max="5624" width="12.28515625" style="5" customWidth="1"/>
    <col min="5625" max="5625" width="9.42578125" style="5" customWidth="1"/>
    <col min="5626" max="5626" width="11.140625" style="5" customWidth="1"/>
    <col min="5627" max="5627" width="10.140625" style="5" customWidth="1"/>
    <col min="5628" max="5630" width="9.7109375" style="5" customWidth="1"/>
    <col min="5631" max="5631" width="10.140625" style="5" customWidth="1"/>
    <col min="5632" max="5632" width="11.42578125" style="5" bestFit="1" customWidth="1"/>
    <col min="5633" max="5633" width="11" style="5" customWidth="1"/>
    <col min="5634" max="5634" width="9.7109375" style="5" customWidth="1"/>
    <col min="5635" max="5635" width="11" style="5" customWidth="1"/>
    <col min="5636" max="5636" width="11.42578125" style="5" customWidth="1"/>
    <col min="5637" max="5638" width="9.7109375" style="5" customWidth="1"/>
    <col min="5639" max="5639" width="11.28515625" style="5" customWidth="1"/>
    <col min="5640" max="5640" width="12.140625" style="5" customWidth="1"/>
    <col min="5641" max="5641" width="9.7109375" style="5" customWidth="1"/>
    <col min="5642" max="5642" width="11" style="5" customWidth="1"/>
    <col min="5643" max="5643" width="8.140625" style="5" customWidth="1"/>
    <col min="5644" max="5644" width="11" style="5" customWidth="1"/>
    <col min="5645" max="5645" width="9.85546875" style="5" customWidth="1"/>
    <col min="5646" max="5646" width="8.85546875" style="5" customWidth="1"/>
    <col min="5647" max="5878" width="11.42578125" style="5"/>
    <col min="5879" max="5879" width="34" style="5" customWidth="1"/>
    <col min="5880" max="5880" width="12.28515625" style="5" customWidth="1"/>
    <col min="5881" max="5881" width="9.42578125" style="5" customWidth="1"/>
    <col min="5882" max="5882" width="11.140625" style="5" customWidth="1"/>
    <col min="5883" max="5883" width="10.140625" style="5" customWidth="1"/>
    <col min="5884" max="5886" width="9.7109375" style="5" customWidth="1"/>
    <col min="5887" max="5887" width="10.140625" style="5" customWidth="1"/>
    <col min="5888" max="5888" width="11.42578125" style="5" bestFit="1" customWidth="1"/>
    <col min="5889" max="5889" width="11" style="5" customWidth="1"/>
    <col min="5890" max="5890" width="9.7109375" style="5" customWidth="1"/>
    <col min="5891" max="5891" width="11" style="5" customWidth="1"/>
    <col min="5892" max="5892" width="11.42578125" style="5" customWidth="1"/>
    <col min="5893" max="5894" width="9.7109375" style="5" customWidth="1"/>
    <col min="5895" max="5895" width="11.28515625" style="5" customWidth="1"/>
    <col min="5896" max="5896" width="12.140625" style="5" customWidth="1"/>
    <col min="5897" max="5897" width="9.7109375" style="5" customWidth="1"/>
    <col min="5898" max="5898" width="11" style="5" customWidth="1"/>
    <col min="5899" max="5899" width="8.140625" style="5" customWidth="1"/>
    <col min="5900" max="5900" width="11" style="5" customWidth="1"/>
    <col min="5901" max="5901" width="9.85546875" style="5" customWidth="1"/>
    <col min="5902" max="5902" width="8.85546875" style="5" customWidth="1"/>
    <col min="5903" max="6134" width="11.42578125" style="5"/>
    <col min="6135" max="6135" width="34" style="5" customWidth="1"/>
    <col min="6136" max="6136" width="12.28515625" style="5" customWidth="1"/>
    <col min="6137" max="6137" width="9.42578125" style="5" customWidth="1"/>
    <col min="6138" max="6138" width="11.140625" style="5" customWidth="1"/>
    <col min="6139" max="6139" width="10.140625" style="5" customWidth="1"/>
    <col min="6140" max="6142" width="9.7109375" style="5" customWidth="1"/>
    <col min="6143" max="6143" width="10.140625" style="5" customWidth="1"/>
    <col min="6144" max="6144" width="11.42578125" style="5" bestFit="1" customWidth="1"/>
    <col min="6145" max="6145" width="11" style="5" customWidth="1"/>
    <col min="6146" max="6146" width="9.7109375" style="5" customWidth="1"/>
    <col min="6147" max="6147" width="11" style="5" customWidth="1"/>
    <col min="6148" max="6148" width="11.42578125" style="5" customWidth="1"/>
    <col min="6149" max="6150" width="9.7109375" style="5" customWidth="1"/>
    <col min="6151" max="6151" width="11.28515625" style="5" customWidth="1"/>
    <col min="6152" max="6152" width="12.140625" style="5" customWidth="1"/>
    <col min="6153" max="6153" width="9.7109375" style="5" customWidth="1"/>
    <col min="6154" max="6154" width="11" style="5" customWidth="1"/>
    <col min="6155" max="6155" width="8.140625" style="5" customWidth="1"/>
    <col min="6156" max="6156" width="11" style="5" customWidth="1"/>
    <col min="6157" max="6157" width="9.85546875" style="5" customWidth="1"/>
    <col min="6158" max="6158" width="8.85546875" style="5" customWidth="1"/>
    <col min="6159" max="6390" width="11.42578125" style="5"/>
    <col min="6391" max="6391" width="34" style="5" customWidth="1"/>
    <col min="6392" max="6392" width="12.28515625" style="5" customWidth="1"/>
    <col min="6393" max="6393" width="9.42578125" style="5" customWidth="1"/>
    <col min="6394" max="6394" width="11.140625" style="5" customWidth="1"/>
    <col min="6395" max="6395" width="10.140625" style="5" customWidth="1"/>
    <col min="6396" max="6398" width="9.7109375" style="5" customWidth="1"/>
    <col min="6399" max="6399" width="10.140625" style="5" customWidth="1"/>
    <col min="6400" max="6400" width="11.42578125" style="5" bestFit="1" customWidth="1"/>
    <col min="6401" max="6401" width="11" style="5" customWidth="1"/>
    <col min="6402" max="6402" width="9.7109375" style="5" customWidth="1"/>
    <col min="6403" max="6403" width="11" style="5" customWidth="1"/>
    <col min="6404" max="6404" width="11.42578125" style="5" customWidth="1"/>
    <col min="6405" max="6406" width="9.7109375" style="5" customWidth="1"/>
    <col min="6407" max="6407" width="11.28515625" style="5" customWidth="1"/>
    <col min="6408" max="6408" width="12.140625" style="5" customWidth="1"/>
    <col min="6409" max="6409" width="9.7109375" style="5" customWidth="1"/>
    <col min="6410" max="6410" width="11" style="5" customWidth="1"/>
    <col min="6411" max="6411" width="8.140625" style="5" customWidth="1"/>
    <col min="6412" max="6412" width="11" style="5" customWidth="1"/>
    <col min="6413" max="6413" width="9.85546875" style="5" customWidth="1"/>
    <col min="6414" max="6414" width="8.85546875" style="5" customWidth="1"/>
    <col min="6415" max="6646" width="11.42578125" style="5"/>
    <col min="6647" max="6647" width="34" style="5" customWidth="1"/>
    <col min="6648" max="6648" width="12.28515625" style="5" customWidth="1"/>
    <col min="6649" max="6649" width="9.42578125" style="5" customWidth="1"/>
    <col min="6650" max="6650" width="11.140625" style="5" customWidth="1"/>
    <col min="6651" max="6651" width="10.140625" style="5" customWidth="1"/>
    <col min="6652" max="6654" width="9.7109375" style="5" customWidth="1"/>
    <col min="6655" max="6655" width="10.140625" style="5" customWidth="1"/>
    <col min="6656" max="6656" width="11.42578125" style="5" bestFit="1" customWidth="1"/>
    <col min="6657" max="6657" width="11" style="5" customWidth="1"/>
    <col min="6658" max="6658" width="9.7109375" style="5" customWidth="1"/>
    <col min="6659" max="6659" width="11" style="5" customWidth="1"/>
    <col min="6660" max="6660" width="11.42578125" style="5" customWidth="1"/>
    <col min="6661" max="6662" width="9.7109375" style="5" customWidth="1"/>
    <col min="6663" max="6663" width="11.28515625" style="5" customWidth="1"/>
    <col min="6664" max="6664" width="12.140625" style="5" customWidth="1"/>
    <col min="6665" max="6665" width="9.7109375" style="5" customWidth="1"/>
    <col min="6666" max="6666" width="11" style="5" customWidth="1"/>
    <col min="6667" max="6667" width="8.140625" style="5" customWidth="1"/>
    <col min="6668" max="6668" width="11" style="5" customWidth="1"/>
    <col min="6669" max="6669" width="9.85546875" style="5" customWidth="1"/>
    <col min="6670" max="6670" width="8.85546875" style="5" customWidth="1"/>
    <col min="6671" max="6902" width="11.42578125" style="5"/>
    <col min="6903" max="6903" width="34" style="5" customWidth="1"/>
    <col min="6904" max="6904" width="12.28515625" style="5" customWidth="1"/>
    <col min="6905" max="6905" width="9.42578125" style="5" customWidth="1"/>
    <col min="6906" max="6906" width="11.140625" style="5" customWidth="1"/>
    <col min="6907" max="6907" width="10.140625" style="5" customWidth="1"/>
    <col min="6908" max="6910" width="9.7109375" style="5" customWidth="1"/>
    <col min="6911" max="6911" width="10.140625" style="5" customWidth="1"/>
    <col min="6912" max="6912" width="11.42578125" style="5" bestFit="1" customWidth="1"/>
    <col min="6913" max="6913" width="11" style="5" customWidth="1"/>
    <col min="6914" max="6914" width="9.7109375" style="5" customWidth="1"/>
    <col min="6915" max="6915" width="11" style="5" customWidth="1"/>
    <col min="6916" max="6916" width="11.42578125" style="5" customWidth="1"/>
    <col min="6917" max="6918" width="9.7109375" style="5" customWidth="1"/>
    <col min="6919" max="6919" width="11.28515625" style="5" customWidth="1"/>
    <col min="6920" max="6920" width="12.140625" style="5" customWidth="1"/>
    <col min="6921" max="6921" width="9.7109375" style="5" customWidth="1"/>
    <col min="6922" max="6922" width="11" style="5" customWidth="1"/>
    <col min="6923" max="6923" width="8.140625" style="5" customWidth="1"/>
    <col min="6924" max="6924" width="11" style="5" customWidth="1"/>
    <col min="6925" max="6925" width="9.85546875" style="5" customWidth="1"/>
    <col min="6926" max="6926" width="8.85546875" style="5" customWidth="1"/>
    <col min="6927" max="7158" width="11.42578125" style="5"/>
    <col min="7159" max="7159" width="34" style="5" customWidth="1"/>
    <col min="7160" max="7160" width="12.28515625" style="5" customWidth="1"/>
    <col min="7161" max="7161" width="9.42578125" style="5" customWidth="1"/>
    <col min="7162" max="7162" width="11.140625" style="5" customWidth="1"/>
    <col min="7163" max="7163" width="10.140625" style="5" customWidth="1"/>
    <col min="7164" max="7166" width="9.7109375" style="5" customWidth="1"/>
    <col min="7167" max="7167" width="10.140625" style="5" customWidth="1"/>
    <col min="7168" max="7168" width="11.42578125" style="5" bestFit="1" customWidth="1"/>
    <col min="7169" max="7169" width="11" style="5" customWidth="1"/>
    <col min="7170" max="7170" width="9.7109375" style="5" customWidth="1"/>
    <col min="7171" max="7171" width="11" style="5" customWidth="1"/>
    <col min="7172" max="7172" width="11.42578125" style="5" customWidth="1"/>
    <col min="7173" max="7174" width="9.7109375" style="5" customWidth="1"/>
    <col min="7175" max="7175" width="11.28515625" style="5" customWidth="1"/>
    <col min="7176" max="7176" width="12.140625" style="5" customWidth="1"/>
    <col min="7177" max="7177" width="9.7109375" style="5" customWidth="1"/>
    <col min="7178" max="7178" width="11" style="5" customWidth="1"/>
    <col min="7179" max="7179" width="8.140625" style="5" customWidth="1"/>
    <col min="7180" max="7180" width="11" style="5" customWidth="1"/>
    <col min="7181" max="7181" width="9.85546875" style="5" customWidth="1"/>
    <col min="7182" max="7182" width="8.85546875" style="5" customWidth="1"/>
    <col min="7183" max="7414" width="11.42578125" style="5"/>
    <col min="7415" max="7415" width="34" style="5" customWidth="1"/>
    <col min="7416" max="7416" width="12.28515625" style="5" customWidth="1"/>
    <col min="7417" max="7417" width="9.42578125" style="5" customWidth="1"/>
    <col min="7418" max="7418" width="11.140625" style="5" customWidth="1"/>
    <col min="7419" max="7419" width="10.140625" style="5" customWidth="1"/>
    <col min="7420" max="7422" width="9.7109375" style="5" customWidth="1"/>
    <col min="7423" max="7423" width="10.140625" style="5" customWidth="1"/>
    <col min="7424" max="7424" width="11.42578125" style="5" bestFit="1" customWidth="1"/>
    <col min="7425" max="7425" width="11" style="5" customWidth="1"/>
    <col min="7426" max="7426" width="9.7109375" style="5" customWidth="1"/>
    <col min="7427" max="7427" width="11" style="5" customWidth="1"/>
    <col min="7428" max="7428" width="11.42578125" style="5" customWidth="1"/>
    <col min="7429" max="7430" width="9.7109375" style="5" customWidth="1"/>
    <col min="7431" max="7431" width="11.28515625" style="5" customWidth="1"/>
    <col min="7432" max="7432" width="12.140625" style="5" customWidth="1"/>
    <col min="7433" max="7433" width="9.7109375" style="5" customWidth="1"/>
    <col min="7434" max="7434" width="11" style="5" customWidth="1"/>
    <col min="7435" max="7435" width="8.140625" style="5" customWidth="1"/>
    <col min="7436" max="7436" width="11" style="5" customWidth="1"/>
    <col min="7437" max="7437" width="9.85546875" style="5" customWidth="1"/>
    <col min="7438" max="7438" width="8.85546875" style="5" customWidth="1"/>
    <col min="7439" max="7670" width="11.42578125" style="5"/>
    <col min="7671" max="7671" width="34" style="5" customWidth="1"/>
    <col min="7672" max="7672" width="12.28515625" style="5" customWidth="1"/>
    <col min="7673" max="7673" width="9.42578125" style="5" customWidth="1"/>
    <col min="7674" max="7674" width="11.140625" style="5" customWidth="1"/>
    <col min="7675" max="7675" width="10.140625" style="5" customWidth="1"/>
    <col min="7676" max="7678" width="9.7109375" style="5" customWidth="1"/>
    <col min="7679" max="7679" width="10.140625" style="5" customWidth="1"/>
    <col min="7680" max="7680" width="11.42578125" style="5" bestFit="1" customWidth="1"/>
    <col min="7681" max="7681" width="11" style="5" customWidth="1"/>
    <col min="7682" max="7682" width="9.7109375" style="5" customWidth="1"/>
    <col min="7683" max="7683" width="11" style="5" customWidth="1"/>
    <col min="7684" max="7684" width="11.42578125" style="5" customWidth="1"/>
    <col min="7685" max="7686" width="9.7109375" style="5" customWidth="1"/>
    <col min="7687" max="7687" width="11.28515625" style="5" customWidth="1"/>
    <col min="7688" max="7688" width="12.140625" style="5" customWidth="1"/>
    <col min="7689" max="7689" width="9.7109375" style="5" customWidth="1"/>
    <col min="7690" max="7690" width="11" style="5" customWidth="1"/>
    <col min="7691" max="7691" width="8.140625" style="5" customWidth="1"/>
    <col min="7692" max="7692" width="11" style="5" customWidth="1"/>
    <col min="7693" max="7693" width="9.85546875" style="5" customWidth="1"/>
    <col min="7694" max="7694" width="8.85546875" style="5" customWidth="1"/>
    <col min="7695" max="7926" width="11.42578125" style="5"/>
    <col min="7927" max="7927" width="34" style="5" customWidth="1"/>
    <col min="7928" max="7928" width="12.28515625" style="5" customWidth="1"/>
    <col min="7929" max="7929" width="9.42578125" style="5" customWidth="1"/>
    <col min="7930" max="7930" width="11.140625" style="5" customWidth="1"/>
    <col min="7931" max="7931" width="10.140625" style="5" customWidth="1"/>
    <col min="7932" max="7934" width="9.7109375" style="5" customWidth="1"/>
    <col min="7935" max="7935" width="10.140625" style="5" customWidth="1"/>
    <col min="7936" max="7936" width="11.42578125" style="5" bestFit="1" customWidth="1"/>
    <col min="7937" max="7937" width="11" style="5" customWidth="1"/>
    <col min="7938" max="7938" width="9.7109375" style="5" customWidth="1"/>
    <col min="7939" max="7939" width="11" style="5" customWidth="1"/>
    <col min="7940" max="7940" width="11.42578125" style="5" customWidth="1"/>
    <col min="7941" max="7942" width="9.7109375" style="5" customWidth="1"/>
    <col min="7943" max="7943" width="11.28515625" style="5" customWidth="1"/>
    <col min="7944" max="7944" width="12.140625" style="5" customWidth="1"/>
    <col min="7945" max="7945" width="9.7109375" style="5" customWidth="1"/>
    <col min="7946" max="7946" width="11" style="5" customWidth="1"/>
    <col min="7947" max="7947" width="8.140625" style="5" customWidth="1"/>
    <col min="7948" max="7948" width="11" style="5" customWidth="1"/>
    <col min="7949" max="7949" width="9.85546875" style="5" customWidth="1"/>
    <col min="7950" max="7950" width="8.85546875" style="5" customWidth="1"/>
    <col min="7951" max="8182" width="11.42578125" style="5"/>
    <col min="8183" max="8183" width="34" style="5" customWidth="1"/>
    <col min="8184" max="8184" width="12.28515625" style="5" customWidth="1"/>
    <col min="8185" max="8185" width="9.42578125" style="5" customWidth="1"/>
    <col min="8186" max="8186" width="11.140625" style="5" customWidth="1"/>
    <col min="8187" max="8187" width="10.140625" style="5" customWidth="1"/>
    <col min="8188" max="8190" width="9.7109375" style="5" customWidth="1"/>
    <col min="8191" max="8191" width="10.140625" style="5" customWidth="1"/>
    <col min="8192" max="8192" width="11.42578125" style="5" bestFit="1" customWidth="1"/>
    <col min="8193" max="8193" width="11" style="5" customWidth="1"/>
    <col min="8194" max="8194" width="9.7109375" style="5" customWidth="1"/>
    <col min="8195" max="8195" width="11" style="5" customWidth="1"/>
    <col min="8196" max="8196" width="11.42578125" style="5" customWidth="1"/>
    <col min="8197" max="8198" width="9.7109375" style="5" customWidth="1"/>
    <col min="8199" max="8199" width="11.28515625" style="5" customWidth="1"/>
    <col min="8200" max="8200" width="12.140625" style="5" customWidth="1"/>
    <col min="8201" max="8201" width="9.7109375" style="5" customWidth="1"/>
    <col min="8202" max="8202" width="11" style="5" customWidth="1"/>
    <col min="8203" max="8203" width="8.140625" style="5" customWidth="1"/>
    <col min="8204" max="8204" width="11" style="5" customWidth="1"/>
    <col min="8205" max="8205" width="9.85546875" style="5" customWidth="1"/>
    <col min="8206" max="8206" width="8.85546875" style="5" customWidth="1"/>
    <col min="8207" max="8438" width="11.42578125" style="5"/>
    <col min="8439" max="8439" width="34" style="5" customWidth="1"/>
    <col min="8440" max="8440" width="12.28515625" style="5" customWidth="1"/>
    <col min="8441" max="8441" width="9.42578125" style="5" customWidth="1"/>
    <col min="8442" max="8442" width="11.140625" style="5" customWidth="1"/>
    <col min="8443" max="8443" width="10.140625" style="5" customWidth="1"/>
    <col min="8444" max="8446" width="9.7109375" style="5" customWidth="1"/>
    <col min="8447" max="8447" width="10.140625" style="5" customWidth="1"/>
    <col min="8448" max="8448" width="11.42578125" style="5" bestFit="1" customWidth="1"/>
    <col min="8449" max="8449" width="11" style="5" customWidth="1"/>
    <col min="8450" max="8450" width="9.7109375" style="5" customWidth="1"/>
    <col min="8451" max="8451" width="11" style="5" customWidth="1"/>
    <col min="8452" max="8452" width="11.42578125" style="5" customWidth="1"/>
    <col min="8453" max="8454" width="9.7109375" style="5" customWidth="1"/>
    <col min="8455" max="8455" width="11.28515625" style="5" customWidth="1"/>
    <col min="8456" max="8456" width="12.140625" style="5" customWidth="1"/>
    <col min="8457" max="8457" width="9.7109375" style="5" customWidth="1"/>
    <col min="8458" max="8458" width="11" style="5" customWidth="1"/>
    <col min="8459" max="8459" width="8.140625" style="5" customWidth="1"/>
    <col min="8460" max="8460" width="11" style="5" customWidth="1"/>
    <col min="8461" max="8461" width="9.85546875" style="5" customWidth="1"/>
    <col min="8462" max="8462" width="8.85546875" style="5" customWidth="1"/>
    <col min="8463" max="8694" width="11.42578125" style="5"/>
    <col min="8695" max="8695" width="34" style="5" customWidth="1"/>
    <col min="8696" max="8696" width="12.28515625" style="5" customWidth="1"/>
    <col min="8697" max="8697" width="9.42578125" style="5" customWidth="1"/>
    <col min="8698" max="8698" width="11.140625" style="5" customWidth="1"/>
    <col min="8699" max="8699" width="10.140625" style="5" customWidth="1"/>
    <col min="8700" max="8702" width="9.7109375" style="5" customWidth="1"/>
    <col min="8703" max="8703" width="10.140625" style="5" customWidth="1"/>
    <col min="8704" max="8704" width="11.42578125" style="5" bestFit="1" customWidth="1"/>
    <col min="8705" max="8705" width="11" style="5" customWidth="1"/>
    <col min="8706" max="8706" width="9.7109375" style="5" customWidth="1"/>
    <col min="8707" max="8707" width="11" style="5" customWidth="1"/>
    <col min="8708" max="8708" width="11.42578125" style="5" customWidth="1"/>
    <col min="8709" max="8710" width="9.7109375" style="5" customWidth="1"/>
    <col min="8711" max="8711" width="11.28515625" style="5" customWidth="1"/>
    <col min="8712" max="8712" width="12.140625" style="5" customWidth="1"/>
    <col min="8713" max="8713" width="9.7109375" style="5" customWidth="1"/>
    <col min="8714" max="8714" width="11" style="5" customWidth="1"/>
    <col min="8715" max="8715" width="8.140625" style="5" customWidth="1"/>
    <col min="8716" max="8716" width="11" style="5" customWidth="1"/>
    <col min="8717" max="8717" width="9.85546875" style="5" customWidth="1"/>
    <col min="8718" max="8718" width="8.85546875" style="5" customWidth="1"/>
    <col min="8719" max="8950" width="11.42578125" style="5"/>
    <col min="8951" max="8951" width="34" style="5" customWidth="1"/>
    <col min="8952" max="8952" width="12.28515625" style="5" customWidth="1"/>
    <col min="8953" max="8953" width="9.42578125" style="5" customWidth="1"/>
    <col min="8954" max="8954" width="11.140625" style="5" customWidth="1"/>
    <col min="8955" max="8955" width="10.140625" style="5" customWidth="1"/>
    <col min="8956" max="8958" width="9.7109375" style="5" customWidth="1"/>
    <col min="8959" max="8959" width="10.140625" style="5" customWidth="1"/>
    <col min="8960" max="8960" width="11.42578125" style="5" bestFit="1" customWidth="1"/>
    <col min="8961" max="8961" width="11" style="5" customWidth="1"/>
    <col min="8962" max="8962" width="9.7109375" style="5" customWidth="1"/>
    <col min="8963" max="8963" width="11" style="5" customWidth="1"/>
    <col min="8964" max="8964" width="11.42578125" style="5" customWidth="1"/>
    <col min="8965" max="8966" width="9.7109375" style="5" customWidth="1"/>
    <col min="8967" max="8967" width="11.28515625" style="5" customWidth="1"/>
    <col min="8968" max="8968" width="12.140625" style="5" customWidth="1"/>
    <col min="8969" max="8969" width="9.7109375" style="5" customWidth="1"/>
    <col min="8970" max="8970" width="11" style="5" customWidth="1"/>
    <col min="8971" max="8971" width="8.140625" style="5" customWidth="1"/>
    <col min="8972" max="8972" width="11" style="5" customWidth="1"/>
    <col min="8973" max="8973" width="9.85546875" style="5" customWidth="1"/>
    <col min="8974" max="8974" width="8.85546875" style="5" customWidth="1"/>
    <col min="8975" max="9206" width="11.42578125" style="5"/>
    <col min="9207" max="9207" width="34" style="5" customWidth="1"/>
    <col min="9208" max="9208" width="12.28515625" style="5" customWidth="1"/>
    <col min="9209" max="9209" width="9.42578125" style="5" customWidth="1"/>
    <col min="9210" max="9210" width="11.140625" style="5" customWidth="1"/>
    <col min="9211" max="9211" width="10.140625" style="5" customWidth="1"/>
    <col min="9212" max="9214" width="9.7109375" style="5" customWidth="1"/>
    <col min="9215" max="9215" width="10.140625" style="5" customWidth="1"/>
    <col min="9216" max="9216" width="11.42578125" style="5" bestFit="1" customWidth="1"/>
    <col min="9217" max="9217" width="11" style="5" customWidth="1"/>
    <col min="9218" max="9218" width="9.7109375" style="5" customWidth="1"/>
    <col min="9219" max="9219" width="11" style="5" customWidth="1"/>
    <col min="9220" max="9220" width="11.42578125" style="5" customWidth="1"/>
    <col min="9221" max="9222" width="9.7109375" style="5" customWidth="1"/>
    <col min="9223" max="9223" width="11.28515625" style="5" customWidth="1"/>
    <col min="9224" max="9224" width="12.140625" style="5" customWidth="1"/>
    <col min="9225" max="9225" width="9.7109375" style="5" customWidth="1"/>
    <col min="9226" max="9226" width="11" style="5" customWidth="1"/>
    <col min="9227" max="9227" width="8.140625" style="5" customWidth="1"/>
    <col min="9228" max="9228" width="11" style="5" customWidth="1"/>
    <col min="9229" max="9229" width="9.85546875" style="5" customWidth="1"/>
    <col min="9230" max="9230" width="8.85546875" style="5" customWidth="1"/>
    <col min="9231" max="9462" width="11.42578125" style="5"/>
    <col min="9463" max="9463" width="34" style="5" customWidth="1"/>
    <col min="9464" max="9464" width="12.28515625" style="5" customWidth="1"/>
    <col min="9465" max="9465" width="9.42578125" style="5" customWidth="1"/>
    <col min="9466" max="9466" width="11.140625" style="5" customWidth="1"/>
    <col min="9467" max="9467" width="10.140625" style="5" customWidth="1"/>
    <col min="9468" max="9470" width="9.7109375" style="5" customWidth="1"/>
    <col min="9471" max="9471" width="10.140625" style="5" customWidth="1"/>
    <col min="9472" max="9472" width="11.42578125" style="5" bestFit="1" customWidth="1"/>
    <col min="9473" max="9473" width="11" style="5" customWidth="1"/>
    <col min="9474" max="9474" width="9.7109375" style="5" customWidth="1"/>
    <col min="9475" max="9475" width="11" style="5" customWidth="1"/>
    <col min="9476" max="9476" width="11.42578125" style="5" customWidth="1"/>
    <col min="9477" max="9478" width="9.7109375" style="5" customWidth="1"/>
    <col min="9479" max="9479" width="11.28515625" style="5" customWidth="1"/>
    <col min="9480" max="9480" width="12.140625" style="5" customWidth="1"/>
    <col min="9481" max="9481" width="9.7109375" style="5" customWidth="1"/>
    <col min="9482" max="9482" width="11" style="5" customWidth="1"/>
    <col min="9483" max="9483" width="8.140625" style="5" customWidth="1"/>
    <col min="9484" max="9484" width="11" style="5" customWidth="1"/>
    <col min="9485" max="9485" width="9.85546875" style="5" customWidth="1"/>
    <col min="9486" max="9486" width="8.85546875" style="5" customWidth="1"/>
    <col min="9487" max="9718" width="11.42578125" style="5"/>
    <col min="9719" max="9719" width="34" style="5" customWidth="1"/>
    <col min="9720" max="9720" width="12.28515625" style="5" customWidth="1"/>
    <col min="9721" max="9721" width="9.42578125" style="5" customWidth="1"/>
    <col min="9722" max="9722" width="11.140625" style="5" customWidth="1"/>
    <col min="9723" max="9723" width="10.140625" style="5" customWidth="1"/>
    <col min="9724" max="9726" width="9.7109375" style="5" customWidth="1"/>
    <col min="9727" max="9727" width="10.140625" style="5" customWidth="1"/>
    <col min="9728" max="9728" width="11.42578125" style="5" bestFit="1" customWidth="1"/>
    <col min="9729" max="9729" width="11" style="5" customWidth="1"/>
    <col min="9730" max="9730" width="9.7109375" style="5" customWidth="1"/>
    <col min="9731" max="9731" width="11" style="5" customWidth="1"/>
    <col min="9732" max="9732" width="11.42578125" style="5" customWidth="1"/>
    <col min="9733" max="9734" width="9.7109375" style="5" customWidth="1"/>
    <col min="9735" max="9735" width="11.28515625" style="5" customWidth="1"/>
    <col min="9736" max="9736" width="12.140625" style="5" customWidth="1"/>
    <col min="9737" max="9737" width="9.7109375" style="5" customWidth="1"/>
    <col min="9738" max="9738" width="11" style="5" customWidth="1"/>
    <col min="9739" max="9739" width="8.140625" style="5" customWidth="1"/>
    <col min="9740" max="9740" width="11" style="5" customWidth="1"/>
    <col min="9741" max="9741" width="9.85546875" style="5" customWidth="1"/>
    <col min="9742" max="9742" width="8.85546875" style="5" customWidth="1"/>
    <col min="9743" max="9974" width="11.42578125" style="5"/>
    <col min="9975" max="9975" width="34" style="5" customWidth="1"/>
    <col min="9976" max="9976" width="12.28515625" style="5" customWidth="1"/>
    <col min="9977" max="9977" width="9.42578125" style="5" customWidth="1"/>
    <col min="9978" max="9978" width="11.140625" style="5" customWidth="1"/>
    <col min="9979" max="9979" width="10.140625" style="5" customWidth="1"/>
    <col min="9980" max="9982" width="9.7109375" style="5" customWidth="1"/>
    <col min="9983" max="9983" width="10.140625" style="5" customWidth="1"/>
    <col min="9984" max="9984" width="11.42578125" style="5" bestFit="1" customWidth="1"/>
    <col min="9985" max="9985" width="11" style="5" customWidth="1"/>
    <col min="9986" max="9986" width="9.7109375" style="5" customWidth="1"/>
    <col min="9987" max="9987" width="11" style="5" customWidth="1"/>
    <col min="9988" max="9988" width="11.42578125" style="5" customWidth="1"/>
    <col min="9989" max="9990" width="9.7109375" style="5" customWidth="1"/>
    <col min="9991" max="9991" width="11.28515625" style="5" customWidth="1"/>
    <col min="9992" max="9992" width="12.140625" style="5" customWidth="1"/>
    <col min="9993" max="9993" width="9.7109375" style="5" customWidth="1"/>
    <col min="9994" max="9994" width="11" style="5" customWidth="1"/>
    <col min="9995" max="9995" width="8.140625" style="5" customWidth="1"/>
    <col min="9996" max="9996" width="11" style="5" customWidth="1"/>
    <col min="9997" max="9997" width="9.85546875" style="5" customWidth="1"/>
    <col min="9998" max="9998" width="8.85546875" style="5" customWidth="1"/>
    <col min="9999" max="10230" width="11.42578125" style="5"/>
    <col min="10231" max="10231" width="34" style="5" customWidth="1"/>
    <col min="10232" max="10232" width="12.28515625" style="5" customWidth="1"/>
    <col min="10233" max="10233" width="9.42578125" style="5" customWidth="1"/>
    <col min="10234" max="10234" width="11.140625" style="5" customWidth="1"/>
    <col min="10235" max="10235" width="10.140625" style="5" customWidth="1"/>
    <col min="10236" max="10238" width="9.7109375" style="5" customWidth="1"/>
    <col min="10239" max="10239" width="10.140625" style="5" customWidth="1"/>
    <col min="10240" max="10240" width="11.42578125" style="5" bestFit="1" customWidth="1"/>
    <col min="10241" max="10241" width="11" style="5" customWidth="1"/>
    <col min="10242" max="10242" width="9.7109375" style="5" customWidth="1"/>
    <col min="10243" max="10243" width="11" style="5" customWidth="1"/>
    <col min="10244" max="10244" width="11.42578125" style="5" customWidth="1"/>
    <col min="10245" max="10246" width="9.7109375" style="5" customWidth="1"/>
    <col min="10247" max="10247" width="11.28515625" style="5" customWidth="1"/>
    <col min="10248" max="10248" width="12.140625" style="5" customWidth="1"/>
    <col min="10249" max="10249" width="9.7109375" style="5" customWidth="1"/>
    <col min="10250" max="10250" width="11" style="5" customWidth="1"/>
    <col min="10251" max="10251" width="8.140625" style="5" customWidth="1"/>
    <col min="10252" max="10252" width="11" style="5" customWidth="1"/>
    <col min="10253" max="10253" width="9.85546875" style="5" customWidth="1"/>
    <col min="10254" max="10254" width="8.85546875" style="5" customWidth="1"/>
    <col min="10255" max="10486" width="11.42578125" style="5"/>
    <col min="10487" max="10487" width="34" style="5" customWidth="1"/>
    <col min="10488" max="10488" width="12.28515625" style="5" customWidth="1"/>
    <col min="10489" max="10489" width="9.42578125" style="5" customWidth="1"/>
    <col min="10490" max="10490" width="11.140625" style="5" customWidth="1"/>
    <col min="10491" max="10491" width="10.140625" style="5" customWidth="1"/>
    <col min="10492" max="10494" width="9.7109375" style="5" customWidth="1"/>
    <col min="10495" max="10495" width="10.140625" style="5" customWidth="1"/>
    <col min="10496" max="10496" width="11.42578125" style="5" bestFit="1" customWidth="1"/>
    <col min="10497" max="10497" width="11" style="5" customWidth="1"/>
    <col min="10498" max="10498" width="9.7109375" style="5" customWidth="1"/>
    <col min="10499" max="10499" width="11" style="5" customWidth="1"/>
    <col min="10500" max="10500" width="11.42578125" style="5" customWidth="1"/>
    <col min="10501" max="10502" width="9.7109375" style="5" customWidth="1"/>
    <col min="10503" max="10503" width="11.28515625" style="5" customWidth="1"/>
    <col min="10504" max="10504" width="12.140625" style="5" customWidth="1"/>
    <col min="10505" max="10505" width="9.7109375" style="5" customWidth="1"/>
    <col min="10506" max="10506" width="11" style="5" customWidth="1"/>
    <col min="10507" max="10507" width="8.140625" style="5" customWidth="1"/>
    <col min="10508" max="10508" width="11" style="5" customWidth="1"/>
    <col min="10509" max="10509" width="9.85546875" style="5" customWidth="1"/>
    <col min="10510" max="10510" width="8.85546875" style="5" customWidth="1"/>
    <col min="10511" max="10742" width="11.42578125" style="5"/>
    <col min="10743" max="10743" width="34" style="5" customWidth="1"/>
    <col min="10744" max="10744" width="12.28515625" style="5" customWidth="1"/>
    <col min="10745" max="10745" width="9.42578125" style="5" customWidth="1"/>
    <col min="10746" max="10746" width="11.140625" style="5" customWidth="1"/>
    <col min="10747" max="10747" width="10.140625" style="5" customWidth="1"/>
    <col min="10748" max="10750" width="9.7109375" style="5" customWidth="1"/>
    <col min="10751" max="10751" width="10.140625" style="5" customWidth="1"/>
    <col min="10752" max="10752" width="11.42578125" style="5" bestFit="1" customWidth="1"/>
    <col min="10753" max="10753" width="11" style="5" customWidth="1"/>
    <col min="10754" max="10754" width="9.7109375" style="5" customWidth="1"/>
    <col min="10755" max="10755" width="11" style="5" customWidth="1"/>
    <col min="10756" max="10756" width="11.42578125" style="5" customWidth="1"/>
    <col min="10757" max="10758" width="9.7109375" style="5" customWidth="1"/>
    <col min="10759" max="10759" width="11.28515625" style="5" customWidth="1"/>
    <col min="10760" max="10760" width="12.140625" style="5" customWidth="1"/>
    <col min="10761" max="10761" width="9.7109375" style="5" customWidth="1"/>
    <col min="10762" max="10762" width="11" style="5" customWidth="1"/>
    <col min="10763" max="10763" width="8.140625" style="5" customWidth="1"/>
    <col min="10764" max="10764" width="11" style="5" customWidth="1"/>
    <col min="10765" max="10765" width="9.85546875" style="5" customWidth="1"/>
    <col min="10766" max="10766" width="8.85546875" style="5" customWidth="1"/>
    <col min="10767" max="10998" width="11.42578125" style="5"/>
    <col min="10999" max="10999" width="34" style="5" customWidth="1"/>
    <col min="11000" max="11000" width="12.28515625" style="5" customWidth="1"/>
    <col min="11001" max="11001" width="9.42578125" style="5" customWidth="1"/>
    <col min="11002" max="11002" width="11.140625" style="5" customWidth="1"/>
    <col min="11003" max="11003" width="10.140625" style="5" customWidth="1"/>
    <col min="11004" max="11006" width="9.7109375" style="5" customWidth="1"/>
    <col min="11007" max="11007" width="10.140625" style="5" customWidth="1"/>
    <col min="11008" max="11008" width="11.42578125" style="5" bestFit="1" customWidth="1"/>
    <col min="11009" max="11009" width="11" style="5" customWidth="1"/>
    <col min="11010" max="11010" width="9.7109375" style="5" customWidth="1"/>
    <col min="11011" max="11011" width="11" style="5" customWidth="1"/>
    <col min="11012" max="11012" width="11.42578125" style="5" customWidth="1"/>
    <col min="11013" max="11014" width="9.7109375" style="5" customWidth="1"/>
    <col min="11015" max="11015" width="11.28515625" style="5" customWidth="1"/>
    <col min="11016" max="11016" width="12.140625" style="5" customWidth="1"/>
    <col min="11017" max="11017" width="9.7109375" style="5" customWidth="1"/>
    <col min="11018" max="11018" width="11" style="5" customWidth="1"/>
    <col min="11019" max="11019" width="8.140625" style="5" customWidth="1"/>
    <col min="11020" max="11020" width="11" style="5" customWidth="1"/>
    <col min="11021" max="11021" width="9.85546875" style="5" customWidth="1"/>
    <col min="11022" max="11022" width="8.85546875" style="5" customWidth="1"/>
    <col min="11023" max="11254" width="11.42578125" style="5"/>
    <col min="11255" max="11255" width="34" style="5" customWidth="1"/>
    <col min="11256" max="11256" width="12.28515625" style="5" customWidth="1"/>
    <col min="11257" max="11257" width="9.42578125" style="5" customWidth="1"/>
    <col min="11258" max="11258" width="11.140625" style="5" customWidth="1"/>
    <col min="11259" max="11259" width="10.140625" style="5" customWidth="1"/>
    <col min="11260" max="11262" width="9.7109375" style="5" customWidth="1"/>
    <col min="11263" max="11263" width="10.140625" style="5" customWidth="1"/>
    <col min="11264" max="11264" width="11.42578125" style="5" bestFit="1" customWidth="1"/>
    <col min="11265" max="11265" width="11" style="5" customWidth="1"/>
    <col min="11266" max="11266" width="9.7109375" style="5" customWidth="1"/>
    <col min="11267" max="11267" width="11" style="5" customWidth="1"/>
    <col min="11268" max="11268" width="11.42578125" style="5" customWidth="1"/>
    <col min="11269" max="11270" width="9.7109375" style="5" customWidth="1"/>
    <col min="11271" max="11271" width="11.28515625" style="5" customWidth="1"/>
    <col min="11272" max="11272" width="12.140625" style="5" customWidth="1"/>
    <col min="11273" max="11273" width="9.7109375" style="5" customWidth="1"/>
    <col min="11274" max="11274" width="11" style="5" customWidth="1"/>
    <col min="11275" max="11275" width="8.140625" style="5" customWidth="1"/>
    <col min="11276" max="11276" width="11" style="5" customWidth="1"/>
    <col min="11277" max="11277" width="9.85546875" style="5" customWidth="1"/>
    <col min="11278" max="11278" width="8.85546875" style="5" customWidth="1"/>
    <col min="11279" max="11510" width="11.42578125" style="5"/>
    <col min="11511" max="11511" width="34" style="5" customWidth="1"/>
    <col min="11512" max="11512" width="12.28515625" style="5" customWidth="1"/>
    <col min="11513" max="11513" width="9.42578125" style="5" customWidth="1"/>
    <col min="11514" max="11514" width="11.140625" style="5" customWidth="1"/>
    <col min="11515" max="11515" width="10.140625" style="5" customWidth="1"/>
    <col min="11516" max="11518" width="9.7109375" style="5" customWidth="1"/>
    <col min="11519" max="11519" width="10.140625" style="5" customWidth="1"/>
    <col min="11520" max="11520" width="11.42578125" style="5" bestFit="1" customWidth="1"/>
    <col min="11521" max="11521" width="11" style="5" customWidth="1"/>
    <col min="11522" max="11522" width="9.7109375" style="5" customWidth="1"/>
    <col min="11523" max="11523" width="11" style="5" customWidth="1"/>
    <col min="11524" max="11524" width="11.42578125" style="5" customWidth="1"/>
    <col min="11525" max="11526" width="9.7109375" style="5" customWidth="1"/>
    <col min="11527" max="11527" width="11.28515625" style="5" customWidth="1"/>
    <col min="11528" max="11528" width="12.140625" style="5" customWidth="1"/>
    <col min="11529" max="11529" width="9.7109375" style="5" customWidth="1"/>
    <col min="11530" max="11530" width="11" style="5" customWidth="1"/>
    <col min="11531" max="11531" width="8.140625" style="5" customWidth="1"/>
    <col min="11532" max="11532" width="11" style="5" customWidth="1"/>
    <col min="11533" max="11533" width="9.85546875" style="5" customWidth="1"/>
    <col min="11534" max="11534" width="8.85546875" style="5" customWidth="1"/>
    <col min="11535" max="11766" width="11.42578125" style="5"/>
    <col min="11767" max="11767" width="34" style="5" customWidth="1"/>
    <col min="11768" max="11768" width="12.28515625" style="5" customWidth="1"/>
    <col min="11769" max="11769" width="9.42578125" style="5" customWidth="1"/>
    <col min="11770" max="11770" width="11.140625" style="5" customWidth="1"/>
    <col min="11771" max="11771" width="10.140625" style="5" customWidth="1"/>
    <col min="11772" max="11774" width="9.7109375" style="5" customWidth="1"/>
    <col min="11775" max="11775" width="10.140625" style="5" customWidth="1"/>
    <col min="11776" max="11776" width="11.42578125" style="5" bestFit="1" customWidth="1"/>
    <col min="11777" max="11777" width="11" style="5" customWidth="1"/>
    <col min="11778" max="11778" width="9.7109375" style="5" customWidth="1"/>
    <col min="11779" max="11779" width="11" style="5" customWidth="1"/>
    <col min="11780" max="11780" width="11.42578125" style="5" customWidth="1"/>
    <col min="11781" max="11782" width="9.7109375" style="5" customWidth="1"/>
    <col min="11783" max="11783" width="11.28515625" style="5" customWidth="1"/>
    <col min="11784" max="11784" width="12.140625" style="5" customWidth="1"/>
    <col min="11785" max="11785" width="9.7109375" style="5" customWidth="1"/>
    <col min="11786" max="11786" width="11" style="5" customWidth="1"/>
    <col min="11787" max="11787" width="8.140625" style="5" customWidth="1"/>
    <col min="11788" max="11788" width="11" style="5" customWidth="1"/>
    <col min="11789" max="11789" width="9.85546875" style="5" customWidth="1"/>
    <col min="11790" max="11790" width="8.85546875" style="5" customWidth="1"/>
    <col min="11791" max="12022" width="11.42578125" style="5"/>
    <col min="12023" max="12023" width="34" style="5" customWidth="1"/>
    <col min="12024" max="12024" width="12.28515625" style="5" customWidth="1"/>
    <col min="12025" max="12025" width="9.42578125" style="5" customWidth="1"/>
    <col min="12026" max="12026" width="11.140625" style="5" customWidth="1"/>
    <col min="12027" max="12027" width="10.140625" style="5" customWidth="1"/>
    <col min="12028" max="12030" width="9.7109375" style="5" customWidth="1"/>
    <col min="12031" max="12031" width="10.140625" style="5" customWidth="1"/>
    <col min="12032" max="12032" width="11.42578125" style="5" bestFit="1" customWidth="1"/>
    <col min="12033" max="12033" width="11" style="5" customWidth="1"/>
    <col min="12034" max="12034" width="9.7109375" style="5" customWidth="1"/>
    <col min="12035" max="12035" width="11" style="5" customWidth="1"/>
    <col min="12036" max="12036" width="11.42578125" style="5" customWidth="1"/>
    <col min="12037" max="12038" width="9.7109375" style="5" customWidth="1"/>
    <col min="12039" max="12039" width="11.28515625" style="5" customWidth="1"/>
    <col min="12040" max="12040" width="12.140625" style="5" customWidth="1"/>
    <col min="12041" max="12041" width="9.7109375" style="5" customWidth="1"/>
    <col min="12042" max="12042" width="11" style="5" customWidth="1"/>
    <col min="12043" max="12043" width="8.140625" style="5" customWidth="1"/>
    <col min="12044" max="12044" width="11" style="5" customWidth="1"/>
    <col min="12045" max="12045" width="9.85546875" style="5" customWidth="1"/>
    <col min="12046" max="12046" width="8.85546875" style="5" customWidth="1"/>
    <col min="12047" max="12278" width="11.42578125" style="5"/>
    <col min="12279" max="12279" width="34" style="5" customWidth="1"/>
    <col min="12280" max="12280" width="12.28515625" style="5" customWidth="1"/>
    <col min="12281" max="12281" width="9.42578125" style="5" customWidth="1"/>
    <col min="12282" max="12282" width="11.140625" style="5" customWidth="1"/>
    <col min="12283" max="12283" width="10.140625" style="5" customWidth="1"/>
    <col min="12284" max="12286" width="9.7109375" style="5" customWidth="1"/>
    <col min="12287" max="12287" width="10.140625" style="5" customWidth="1"/>
    <col min="12288" max="12288" width="11.42578125" style="5" bestFit="1" customWidth="1"/>
    <col min="12289" max="12289" width="11" style="5" customWidth="1"/>
    <col min="12290" max="12290" width="9.7109375" style="5" customWidth="1"/>
    <col min="12291" max="12291" width="11" style="5" customWidth="1"/>
    <col min="12292" max="12292" width="11.42578125" style="5" customWidth="1"/>
    <col min="12293" max="12294" width="9.7109375" style="5" customWidth="1"/>
    <col min="12295" max="12295" width="11.28515625" style="5" customWidth="1"/>
    <col min="12296" max="12296" width="12.140625" style="5" customWidth="1"/>
    <col min="12297" max="12297" width="9.7109375" style="5" customWidth="1"/>
    <col min="12298" max="12298" width="11" style="5" customWidth="1"/>
    <col min="12299" max="12299" width="8.140625" style="5" customWidth="1"/>
    <col min="12300" max="12300" width="11" style="5" customWidth="1"/>
    <col min="12301" max="12301" width="9.85546875" style="5" customWidth="1"/>
    <col min="12302" max="12302" width="8.85546875" style="5" customWidth="1"/>
    <col min="12303" max="12534" width="11.42578125" style="5"/>
    <col min="12535" max="12535" width="34" style="5" customWidth="1"/>
    <col min="12536" max="12536" width="12.28515625" style="5" customWidth="1"/>
    <col min="12537" max="12537" width="9.42578125" style="5" customWidth="1"/>
    <col min="12538" max="12538" width="11.140625" style="5" customWidth="1"/>
    <col min="12539" max="12539" width="10.140625" style="5" customWidth="1"/>
    <col min="12540" max="12542" width="9.7109375" style="5" customWidth="1"/>
    <col min="12543" max="12543" width="10.140625" style="5" customWidth="1"/>
    <col min="12544" max="12544" width="11.42578125" style="5" bestFit="1" customWidth="1"/>
    <col min="12545" max="12545" width="11" style="5" customWidth="1"/>
    <col min="12546" max="12546" width="9.7109375" style="5" customWidth="1"/>
    <col min="12547" max="12547" width="11" style="5" customWidth="1"/>
    <col min="12548" max="12548" width="11.42578125" style="5" customWidth="1"/>
    <col min="12549" max="12550" width="9.7109375" style="5" customWidth="1"/>
    <col min="12551" max="12551" width="11.28515625" style="5" customWidth="1"/>
    <col min="12552" max="12552" width="12.140625" style="5" customWidth="1"/>
    <col min="12553" max="12553" width="9.7109375" style="5" customWidth="1"/>
    <col min="12554" max="12554" width="11" style="5" customWidth="1"/>
    <col min="12555" max="12555" width="8.140625" style="5" customWidth="1"/>
    <col min="12556" max="12556" width="11" style="5" customWidth="1"/>
    <col min="12557" max="12557" width="9.85546875" style="5" customWidth="1"/>
    <col min="12558" max="12558" width="8.85546875" style="5" customWidth="1"/>
    <col min="12559" max="12790" width="11.42578125" style="5"/>
    <col min="12791" max="12791" width="34" style="5" customWidth="1"/>
    <col min="12792" max="12792" width="12.28515625" style="5" customWidth="1"/>
    <col min="12793" max="12793" width="9.42578125" style="5" customWidth="1"/>
    <col min="12794" max="12794" width="11.140625" style="5" customWidth="1"/>
    <col min="12795" max="12795" width="10.140625" style="5" customWidth="1"/>
    <col min="12796" max="12798" width="9.7109375" style="5" customWidth="1"/>
    <col min="12799" max="12799" width="10.140625" style="5" customWidth="1"/>
    <col min="12800" max="12800" width="11.42578125" style="5" bestFit="1" customWidth="1"/>
    <col min="12801" max="12801" width="11" style="5" customWidth="1"/>
    <col min="12802" max="12802" width="9.7109375" style="5" customWidth="1"/>
    <col min="12803" max="12803" width="11" style="5" customWidth="1"/>
    <col min="12804" max="12804" width="11.42578125" style="5" customWidth="1"/>
    <col min="12805" max="12806" width="9.7109375" style="5" customWidth="1"/>
    <col min="12807" max="12807" width="11.28515625" style="5" customWidth="1"/>
    <col min="12808" max="12808" width="12.140625" style="5" customWidth="1"/>
    <col min="12809" max="12809" width="9.7109375" style="5" customWidth="1"/>
    <col min="12810" max="12810" width="11" style="5" customWidth="1"/>
    <col min="12811" max="12811" width="8.140625" style="5" customWidth="1"/>
    <col min="12812" max="12812" width="11" style="5" customWidth="1"/>
    <col min="12813" max="12813" width="9.85546875" style="5" customWidth="1"/>
    <col min="12814" max="12814" width="8.85546875" style="5" customWidth="1"/>
    <col min="12815" max="13046" width="11.42578125" style="5"/>
    <col min="13047" max="13047" width="34" style="5" customWidth="1"/>
    <col min="13048" max="13048" width="12.28515625" style="5" customWidth="1"/>
    <col min="13049" max="13049" width="9.42578125" style="5" customWidth="1"/>
    <col min="13050" max="13050" width="11.140625" style="5" customWidth="1"/>
    <col min="13051" max="13051" width="10.140625" style="5" customWidth="1"/>
    <col min="13052" max="13054" width="9.7109375" style="5" customWidth="1"/>
    <col min="13055" max="13055" width="10.140625" style="5" customWidth="1"/>
    <col min="13056" max="13056" width="11.42578125" style="5" bestFit="1" customWidth="1"/>
    <col min="13057" max="13057" width="11" style="5" customWidth="1"/>
    <col min="13058" max="13058" width="9.7109375" style="5" customWidth="1"/>
    <col min="13059" max="13059" width="11" style="5" customWidth="1"/>
    <col min="13060" max="13060" width="11.42578125" style="5" customWidth="1"/>
    <col min="13061" max="13062" width="9.7109375" style="5" customWidth="1"/>
    <col min="13063" max="13063" width="11.28515625" style="5" customWidth="1"/>
    <col min="13064" max="13064" width="12.140625" style="5" customWidth="1"/>
    <col min="13065" max="13065" width="9.7109375" style="5" customWidth="1"/>
    <col min="13066" max="13066" width="11" style="5" customWidth="1"/>
    <col min="13067" max="13067" width="8.140625" style="5" customWidth="1"/>
    <col min="13068" max="13068" width="11" style="5" customWidth="1"/>
    <col min="13069" max="13069" width="9.85546875" style="5" customWidth="1"/>
    <col min="13070" max="13070" width="8.85546875" style="5" customWidth="1"/>
    <col min="13071" max="13302" width="11.42578125" style="5"/>
    <col min="13303" max="13303" width="34" style="5" customWidth="1"/>
    <col min="13304" max="13304" width="12.28515625" style="5" customWidth="1"/>
    <col min="13305" max="13305" width="9.42578125" style="5" customWidth="1"/>
    <col min="13306" max="13306" width="11.140625" style="5" customWidth="1"/>
    <col min="13307" max="13307" width="10.140625" style="5" customWidth="1"/>
    <col min="13308" max="13310" width="9.7109375" style="5" customWidth="1"/>
    <col min="13311" max="13311" width="10.140625" style="5" customWidth="1"/>
    <col min="13312" max="13312" width="11.42578125" style="5" bestFit="1" customWidth="1"/>
    <col min="13313" max="13313" width="11" style="5" customWidth="1"/>
    <col min="13314" max="13314" width="9.7109375" style="5" customWidth="1"/>
    <col min="13315" max="13315" width="11" style="5" customWidth="1"/>
    <col min="13316" max="13316" width="11.42578125" style="5" customWidth="1"/>
    <col min="13317" max="13318" width="9.7109375" style="5" customWidth="1"/>
    <col min="13319" max="13319" width="11.28515625" style="5" customWidth="1"/>
    <col min="13320" max="13320" width="12.140625" style="5" customWidth="1"/>
    <col min="13321" max="13321" width="9.7109375" style="5" customWidth="1"/>
    <col min="13322" max="13322" width="11" style="5" customWidth="1"/>
    <col min="13323" max="13323" width="8.140625" style="5" customWidth="1"/>
    <col min="13324" max="13324" width="11" style="5" customWidth="1"/>
    <col min="13325" max="13325" width="9.85546875" style="5" customWidth="1"/>
    <col min="13326" max="13326" width="8.85546875" style="5" customWidth="1"/>
    <col min="13327" max="13558" width="11.42578125" style="5"/>
    <col min="13559" max="13559" width="34" style="5" customWidth="1"/>
    <col min="13560" max="13560" width="12.28515625" style="5" customWidth="1"/>
    <col min="13561" max="13561" width="9.42578125" style="5" customWidth="1"/>
    <col min="13562" max="13562" width="11.140625" style="5" customWidth="1"/>
    <col min="13563" max="13563" width="10.140625" style="5" customWidth="1"/>
    <col min="13564" max="13566" width="9.7109375" style="5" customWidth="1"/>
    <col min="13567" max="13567" width="10.140625" style="5" customWidth="1"/>
    <col min="13568" max="13568" width="11.42578125" style="5" bestFit="1" customWidth="1"/>
    <col min="13569" max="13569" width="11" style="5" customWidth="1"/>
    <col min="13570" max="13570" width="9.7109375" style="5" customWidth="1"/>
    <col min="13571" max="13571" width="11" style="5" customWidth="1"/>
    <col min="13572" max="13572" width="11.42578125" style="5" customWidth="1"/>
    <col min="13573" max="13574" width="9.7109375" style="5" customWidth="1"/>
    <col min="13575" max="13575" width="11.28515625" style="5" customWidth="1"/>
    <col min="13576" max="13576" width="12.140625" style="5" customWidth="1"/>
    <col min="13577" max="13577" width="9.7109375" style="5" customWidth="1"/>
    <col min="13578" max="13578" width="11" style="5" customWidth="1"/>
    <col min="13579" max="13579" width="8.140625" style="5" customWidth="1"/>
    <col min="13580" max="13580" width="11" style="5" customWidth="1"/>
    <col min="13581" max="13581" width="9.85546875" style="5" customWidth="1"/>
    <col min="13582" max="13582" width="8.85546875" style="5" customWidth="1"/>
    <col min="13583" max="13814" width="11.42578125" style="5"/>
    <col min="13815" max="13815" width="34" style="5" customWidth="1"/>
    <col min="13816" max="13816" width="12.28515625" style="5" customWidth="1"/>
    <col min="13817" max="13817" width="9.42578125" style="5" customWidth="1"/>
    <col min="13818" max="13818" width="11.140625" style="5" customWidth="1"/>
    <col min="13819" max="13819" width="10.140625" style="5" customWidth="1"/>
    <col min="13820" max="13822" width="9.7109375" style="5" customWidth="1"/>
    <col min="13823" max="13823" width="10.140625" style="5" customWidth="1"/>
    <col min="13824" max="13824" width="11.42578125" style="5" bestFit="1" customWidth="1"/>
    <col min="13825" max="13825" width="11" style="5" customWidth="1"/>
    <col min="13826" max="13826" width="9.7109375" style="5" customWidth="1"/>
    <col min="13827" max="13827" width="11" style="5" customWidth="1"/>
    <col min="13828" max="13828" width="11.42578125" style="5" customWidth="1"/>
    <col min="13829" max="13830" width="9.7109375" style="5" customWidth="1"/>
    <col min="13831" max="13831" width="11.28515625" style="5" customWidth="1"/>
    <col min="13832" max="13832" width="12.140625" style="5" customWidth="1"/>
    <col min="13833" max="13833" width="9.7109375" style="5" customWidth="1"/>
    <col min="13834" max="13834" width="11" style="5" customWidth="1"/>
    <col min="13835" max="13835" width="8.140625" style="5" customWidth="1"/>
    <col min="13836" max="13836" width="11" style="5" customWidth="1"/>
    <col min="13837" max="13837" width="9.85546875" style="5" customWidth="1"/>
    <col min="13838" max="13838" width="8.85546875" style="5" customWidth="1"/>
    <col min="13839" max="14070" width="11.42578125" style="5"/>
    <col min="14071" max="14071" width="34" style="5" customWidth="1"/>
    <col min="14072" max="14072" width="12.28515625" style="5" customWidth="1"/>
    <col min="14073" max="14073" width="9.42578125" style="5" customWidth="1"/>
    <col min="14074" max="14074" width="11.140625" style="5" customWidth="1"/>
    <col min="14075" max="14075" width="10.140625" style="5" customWidth="1"/>
    <col min="14076" max="14078" width="9.7109375" style="5" customWidth="1"/>
    <col min="14079" max="14079" width="10.140625" style="5" customWidth="1"/>
    <col min="14080" max="14080" width="11.42578125" style="5" bestFit="1" customWidth="1"/>
    <col min="14081" max="14081" width="11" style="5" customWidth="1"/>
    <col min="14082" max="14082" width="9.7109375" style="5" customWidth="1"/>
    <col min="14083" max="14083" width="11" style="5" customWidth="1"/>
    <col min="14084" max="14084" width="11.42578125" style="5" customWidth="1"/>
    <col min="14085" max="14086" width="9.7109375" style="5" customWidth="1"/>
    <col min="14087" max="14087" width="11.28515625" style="5" customWidth="1"/>
    <col min="14088" max="14088" width="12.140625" style="5" customWidth="1"/>
    <col min="14089" max="14089" width="9.7109375" style="5" customWidth="1"/>
    <col min="14090" max="14090" width="11" style="5" customWidth="1"/>
    <col min="14091" max="14091" width="8.140625" style="5" customWidth="1"/>
    <col min="14092" max="14092" width="11" style="5" customWidth="1"/>
    <col min="14093" max="14093" width="9.85546875" style="5" customWidth="1"/>
    <col min="14094" max="14094" width="8.85546875" style="5" customWidth="1"/>
    <col min="14095" max="14326" width="11.42578125" style="5"/>
    <col min="14327" max="14327" width="34" style="5" customWidth="1"/>
    <col min="14328" max="14328" width="12.28515625" style="5" customWidth="1"/>
    <col min="14329" max="14329" width="9.42578125" style="5" customWidth="1"/>
    <col min="14330" max="14330" width="11.140625" style="5" customWidth="1"/>
    <col min="14331" max="14331" width="10.140625" style="5" customWidth="1"/>
    <col min="14332" max="14334" width="9.7109375" style="5" customWidth="1"/>
    <col min="14335" max="14335" width="10.140625" style="5" customWidth="1"/>
    <col min="14336" max="14336" width="11.42578125" style="5" bestFit="1" customWidth="1"/>
    <col min="14337" max="14337" width="11" style="5" customWidth="1"/>
    <col min="14338" max="14338" width="9.7109375" style="5" customWidth="1"/>
    <col min="14339" max="14339" width="11" style="5" customWidth="1"/>
    <col min="14340" max="14340" width="11.42578125" style="5" customWidth="1"/>
    <col min="14341" max="14342" width="9.7109375" style="5" customWidth="1"/>
    <col min="14343" max="14343" width="11.28515625" style="5" customWidth="1"/>
    <col min="14344" max="14344" width="12.140625" style="5" customWidth="1"/>
    <col min="14345" max="14345" width="9.7109375" style="5" customWidth="1"/>
    <col min="14346" max="14346" width="11" style="5" customWidth="1"/>
    <col min="14347" max="14347" width="8.140625" style="5" customWidth="1"/>
    <col min="14348" max="14348" width="11" style="5" customWidth="1"/>
    <col min="14349" max="14349" width="9.85546875" style="5" customWidth="1"/>
    <col min="14350" max="14350" width="8.85546875" style="5" customWidth="1"/>
    <col min="14351" max="14582" width="11.42578125" style="5"/>
    <col min="14583" max="14583" width="34" style="5" customWidth="1"/>
    <col min="14584" max="14584" width="12.28515625" style="5" customWidth="1"/>
    <col min="14585" max="14585" width="9.42578125" style="5" customWidth="1"/>
    <col min="14586" max="14586" width="11.140625" style="5" customWidth="1"/>
    <col min="14587" max="14587" width="10.140625" style="5" customWidth="1"/>
    <col min="14588" max="14590" width="9.7109375" style="5" customWidth="1"/>
    <col min="14591" max="14591" width="10.140625" style="5" customWidth="1"/>
    <col min="14592" max="14592" width="11.42578125" style="5" bestFit="1" customWidth="1"/>
    <col min="14593" max="14593" width="11" style="5" customWidth="1"/>
    <col min="14594" max="14594" width="9.7109375" style="5" customWidth="1"/>
    <col min="14595" max="14595" width="11" style="5" customWidth="1"/>
    <col min="14596" max="14596" width="11.42578125" style="5" customWidth="1"/>
    <col min="14597" max="14598" width="9.7109375" style="5" customWidth="1"/>
    <col min="14599" max="14599" width="11.28515625" style="5" customWidth="1"/>
    <col min="14600" max="14600" width="12.140625" style="5" customWidth="1"/>
    <col min="14601" max="14601" width="9.7109375" style="5" customWidth="1"/>
    <col min="14602" max="14602" width="11" style="5" customWidth="1"/>
    <col min="14603" max="14603" width="8.140625" style="5" customWidth="1"/>
    <col min="14604" max="14604" width="11" style="5" customWidth="1"/>
    <col min="14605" max="14605" width="9.85546875" style="5" customWidth="1"/>
    <col min="14606" max="14606" width="8.85546875" style="5" customWidth="1"/>
    <col min="14607" max="14838" width="11.42578125" style="5"/>
    <col min="14839" max="14839" width="34" style="5" customWidth="1"/>
    <col min="14840" max="14840" width="12.28515625" style="5" customWidth="1"/>
    <col min="14841" max="14841" width="9.42578125" style="5" customWidth="1"/>
    <col min="14842" max="14842" width="11.140625" style="5" customWidth="1"/>
    <col min="14843" max="14843" width="10.140625" style="5" customWidth="1"/>
    <col min="14844" max="14846" width="9.7109375" style="5" customWidth="1"/>
    <col min="14847" max="14847" width="10.140625" style="5" customWidth="1"/>
    <col min="14848" max="14848" width="11.42578125" style="5" bestFit="1" customWidth="1"/>
    <col min="14849" max="14849" width="11" style="5" customWidth="1"/>
    <col min="14850" max="14850" width="9.7109375" style="5" customWidth="1"/>
    <col min="14851" max="14851" width="11" style="5" customWidth="1"/>
    <col min="14852" max="14852" width="11.42578125" style="5" customWidth="1"/>
    <col min="14853" max="14854" width="9.7109375" style="5" customWidth="1"/>
    <col min="14855" max="14855" width="11.28515625" style="5" customWidth="1"/>
    <col min="14856" max="14856" width="12.140625" style="5" customWidth="1"/>
    <col min="14857" max="14857" width="9.7109375" style="5" customWidth="1"/>
    <col min="14858" max="14858" width="11" style="5" customWidth="1"/>
    <col min="14859" max="14859" width="8.140625" style="5" customWidth="1"/>
    <col min="14860" max="14860" width="11" style="5" customWidth="1"/>
    <col min="14861" max="14861" width="9.85546875" style="5" customWidth="1"/>
    <col min="14862" max="14862" width="8.85546875" style="5" customWidth="1"/>
    <col min="14863" max="15094" width="11.42578125" style="5"/>
    <col min="15095" max="15095" width="34" style="5" customWidth="1"/>
    <col min="15096" max="15096" width="12.28515625" style="5" customWidth="1"/>
    <col min="15097" max="15097" width="9.42578125" style="5" customWidth="1"/>
    <col min="15098" max="15098" width="11.140625" style="5" customWidth="1"/>
    <col min="15099" max="15099" width="10.140625" style="5" customWidth="1"/>
    <col min="15100" max="15102" width="9.7109375" style="5" customWidth="1"/>
    <col min="15103" max="15103" width="10.140625" style="5" customWidth="1"/>
    <col min="15104" max="15104" width="11.42578125" style="5" bestFit="1" customWidth="1"/>
    <col min="15105" max="15105" width="11" style="5" customWidth="1"/>
    <col min="15106" max="15106" width="9.7109375" style="5" customWidth="1"/>
    <col min="15107" max="15107" width="11" style="5" customWidth="1"/>
    <col min="15108" max="15108" width="11.42578125" style="5" customWidth="1"/>
    <col min="15109" max="15110" width="9.7109375" style="5" customWidth="1"/>
    <col min="15111" max="15111" width="11.28515625" style="5" customWidth="1"/>
    <col min="15112" max="15112" width="12.140625" style="5" customWidth="1"/>
    <col min="15113" max="15113" width="9.7109375" style="5" customWidth="1"/>
    <col min="15114" max="15114" width="11" style="5" customWidth="1"/>
    <col min="15115" max="15115" width="8.140625" style="5" customWidth="1"/>
    <col min="15116" max="15116" width="11" style="5" customWidth="1"/>
    <col min="15117" max="15117" width="9.85546875" style="5" customWidth="1"/>
    <col min="15118" max="15118" width="8.85546875" style="5" customWidth="1"/>
    <col min="15119" max="15350" width="11.42578125" style="5"/>
    <col min="15351" max="15351" width="34" style="5" customWidth="1"/>
    <col min="15352" max="15352" width="12.28515625" style="5" customWidth="1"/>
    <col min="15353" max="15353" width="9.42578125" style="5" customWidth="1"/>
    <col min="15354" max="15354" width="11.140625" style="5" customWidth="1"/>
    <col min="15355" max="15355" width="10.140625" style="5" customWidth="1"/>
    <col min="15356" max="15358" width="9.7109375" style="5" customWidth="1"/>
    <col min="15359" max="15359" width="10.140625" style="5" customWidth="1"/>
    <col min="15360" max="15360" width="11.42578125" style="5" bestFit="1" customWidth="1"/>
    <col min="15361" max="15361" width="11" style="5" customWidth="1"/>
    <col min="15362" max="15362" width="9.7109375" style="5" customWidth="1"/>
    <col min="15363" max="15363" width="11" style="5" customWidth="1"/>
    <col min="15364" max="15364" width="11.42578125" style="5" customWidth="1"/>
    <col min="15365" max="15366" width="9.7109375" style="5" customWidth="1"/>
    <col min="15367" max="15367" width="11.28515625" style="5" customWidth="1"/>
    <col min="15368" max="15368" width="12.140625" style="5" customWidth="1"/>
    <col min="15369" max="15369" width="9.7109375" style="5" customWidth="1"/>
    <col min="15370" max="15370" width="11" style="5" customWidth="1"/>
    <col min="15371" max="15371" width="8.140625" style="5" customWidth="1"/>
    <col min="15372" max="15372" width="11" style="5" customWidth="1"/>
    <col min="15373" max="15373" width="9.85546875" style="5" customWidth="1"/>
    <col min="15374" max="15374" width="8.85546875" style="5" customWidth="1"/>
    <col min="15375" max="15606" width="11.42578125" style="5"/>
    <col min="15607" max="15607" width="34" style="5" customWidth="1"/>
    <col min="15608" max="15608" width="12.28515625" style="5" customWidth="1"/>
    <col min="15609" max="15609" width="9.42578125" style="5" customWidth="1"/>
    <col min="15610" max="15610" width="11.140625" style="5" customWidth="1"/>
    <col min="15611" max="15611" width="10.140625" style="5" customWidth="1"/>
    <col min="15612" max="15614" width="9.7109375" style="5" customWidth="1"/>
    <col min="15615" max="15615" width="10.140625" style="5" customWidth="1"/>
    <col min="15616" max="15616" width="11.42578125" style="5" bestFit="1" customWidth="1"/>
    <col min="15617" max="15617" width="11" style="5" customWidth="1"/>
    <col min="15618" max="15618" width="9.7109375" style="5" customWidth="1"/>
    <col min="15619" max="15619" width="11" style="5" customWidth="1"/>
    <col min="15620" max="15620" width="11.42578125" style="5" customWidth="1"/>
    <col min="15621" max="15622" width="9.7109375" style="5" customWidth="1"/>
    <col min="15623" max="15623" width="11.28515625" style="5" customWidth="1"/>
    <col min="15624" max="15624" width="12.140625" style="5" customWidth="1"/>
    <col min="15625" max="15625" width="9.7109375" style="5" customWidth="1"/>
    <col min="15626" max="15626" width="11" style="5" customWidth="1"/>
    <col min="15627" max="15627" width="8.140625" style="5" customWidth="1"/>
    <col min="15628" max="15628" width="11" style="5" customWidth="1"/>
    <col min="15629" max="15629" width="9.85546875" style="5" customWidth="1"/>
    <col min="15630" max="15630" width="8.85546875" style="5" customWidth="1"/>
    <col min="15631" max="15862" width="11.42578125" style="5"/>
    <col min="15863" max="15863" width="34" style="5" customWidth="1"/>
    <col min="15864" max="15864" width="12.28515625" style="5" customWidth="1"/>
    <col min="15865" max="15865" width="9.42578125" style="5" customWidth="1"/>
    <col min="15866" max="15866" width="11.140625" style="5" customWidth="1"/>
    <col min="15867" max="15867" width="10.140625" style="5" customWidth="1"/>
    <col min="15868" max="15870" width="9.7109375" style="5" customWidth="1"/>
    <col min="15871" max="15871" width="10.140625" style="5" customWidth="1"/>
    <col min="15872" max="15872" width="11.42578125" style="5" bestFit="1" customWidth="1"/>
    <col min="15873" max="15873" width="11" style="5" customWidth="1"/>
    <col min="15874" max="15874" width="9.7109375" style="5" customWidth="1"/>
    <col min="15875" max="15875" width="11" style="5" customWidth="1"/>
    <col min="15876" max="15876" width="11.42578125" style="5" customWidth="1"/>
    <col min="15877" max="15878" width="9.7109375" style="5" customWidth="1"/>
    <col min="15879" max="15879" width="11.28515625" style="5" customWidth="1"/>
    <col min="15880" max="15880" width="12.140625" style="5" customWidth="1"/>
    <col min="15881" max="15881" width="9.7109375" style="5" customWidth="1"/>
    <col min="15882" max="15882" width="11" style="5" customWidth="1"/>
    <col min="15883" max="15883" width="8.140625" style="5" customWidth="1"/>
    <col min="15884" max="15884" width="11" style="5" customWidth="1"/>
    <col min="15885" max="15885" width="9.85546875" style="5" customWidth="1"/>
    <col min="15886" max="15886" width="8.85546875" style="5" customWidth="1"/>
    <col min="15887" max="16118" width="11.42578125" style="5"/>
    <col min="16119" max="16119" width="34" style="5" customWidth="1"/>
    <col min="16120" max="16120" width="12.28515625" style="5" customWidth="1"/>
    <col min="16121" max="16121" width="9.42578125" style="5" customWidth="1"/>
    <col min="16122" max="16122" width="11.140625" style="5" customWidth="1"/>
    <col min="16123" max="16123" width="10.140625" style="5" customWidth="1"/>
    <col min="16124" max="16126" width="9.7109375" style="5" customWidth="1"/>
    <col min="16127" max="16127" width="10.140625" style="5" customWidth="1"/>
    <col min="16128" max="16128" width="11.42578125" style="5" bestFit="1" customWidth="1"/>
    <col min="16129" max="16129" width="11" style="5" customWidth="1"/>
    <col min="16130" max="16130" width="9.7109375" style="5" customWidth="1"/>
    <col min="16131" max="16131" width="11" style="5" customWidth="1"/>
    <col min="16132" max="16132" width="11.42578125" style="5" customWidth="1"/>
    <col min="16133" max="16134" width="9.7109375" style="5" customWidth="1"/>
    <col min="16135" max="16135" width="11.28515625" style="5" customWidth="1"/>
    <col min="16136" max="16136" width="12.140625" style="5" customWidth="1"/>
    <col min="16137" max="16137" width="9.7109375" style="5" customWidth="1"/>
    <col min="16138" max="16138" width="11" style="5" customWidth="1"/>
    <col min="16139" max="16139" width="8.140625" style="5" customWidth="1"/>
    <col min="16140" max="16140" width="11" style="5" customWidth="1"/>
    <col min="16141" max="16141" width="9.85546875" style="5" customWidth="1"/>
    <col min="16142" max="16142" width="8.85546875" style="5" customWidth="1"/>
    <col min="16143" max="16384" width="11.42578125" style="5"/>
  </cols>
  <sheetData>
    <row r="1" spans="1:19" ht="17.10000000000000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4"/>
      <c r="N1" s="2"/>
      <c r="O1" s="2"/>
      <c r="P1" s="2"/>
      <c r="Q1" s="2"/>
      <c r="R1" s="2"/>
      <c r="S1" s="2"/>
    </row>
    <row r="2" spans="1:19" ht="17.100000000000001" customHeight="1">
      <c r="A2" s="6"/>
      <c r="B2" s="2"/>
      <c r="C2" s="2"/>
      <c r="D2" s="2"/>
      <c r="E2" s="2"/>
      <c r="F2" s="2"/>
      <c r="G2" s="2"/>
      <c r="H2" s="2"/>
      <c r="I2" s="2"/>
      <c r="J2" s="2"/>
      <c r="L2" s="4"/>
      <c r="M2" s="4"/>
      <c r="N2" s="2"/>
      <c r="O2" s="2"/>
      <c r="P2" s="2"/>
      <c r="Q2" s="2"/>
      <c r="R2" s="2"/>
      <c r="S2" s="2"/>
    </row>
    <row r="3" spans="1:19" ht="14.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4"/>
      <c r="L3" s="4"/>
      <c r="M3" s="4"/>
      <c r="N3" s="2"/>
      <c r="O3" s="2"/>
      <c r="P3" s="2"/>
      <c r="Q3" s="2"/>
      <c r="R3" s="2"/>
      <c r="S3" s="2"/>
    </row>
    <row r="4" spans="1:19" ht="14.1" customHeight="1">
      <c r="A4" s="2"/>
      <c r="B4" s="2" t="s">
        <v>1</v>
      </c>
      <c r="C4" s="2"/>
      <c r="D4" s="2"/>
      <c r="E4" s="2"/>
      <c r="F4" s="2"/>
      <c r="G4" s="2"/>
      <c r="H4" s="2"/>
      <c r="I4" s="2"/>
      <c r="J4" s="2"/>
      <c r="K4" s="4"/>
      <c r="L4" s="3"/>
      <c r="M4" s="3"/>
      <c r="N4" s="1"/>
      <c r="O4" s="1"/>
      <c r="P4" s="1"/>
      <c r="Q4" s="1"/>
      <c r="R4" s="1"/>
      <c r="S4" s="2"/>
    </row>
    <row r="5" spans="1:19" ht="14.1" customHeight="1" thickBot="1">
      <c r="A5" s="2"/>
      <c r="B5" s="2"/>
      <c r="C5" s="2"/>
      <c r="D5" s="2"/>
      <c r="E5" s="2"/>
      <c r="F5" s="2"/>
      <c r="G5" s="2"/>
      <c r="H5" s="2"/>
      <c r="I5" s="2"/>
      <c r="J5" s="2"/>
      <c r="K5" s="4"/>
      <c r="L5" s="4"/>
      <c r="M5" s="4"/>
      <c r="N5" s="2"/>
      <c r="O5" s="2"/>
      <c r="P5" s="2"/>
      <c r="Q5" s="2"/>
      <c r="R5" s="2"/>
      <c r="S5" s="2"/>
    </row>
    <row r="6" spans="1:19" ht="14.1" customHeight="1" thickTop="1">
      <c r="A6" s="8" t="s">
        <v>2</v>
      </c>
      <c r="B6" s="9"/>
      <c r="C6" s="10" t="s">
        <v>3</v>
      </c>
      <c r="D6" s="10"/>
      <c r="E6" s="11"/>
      <c r="F6" s="10" t="s">
        <v>4</v>
      </c>
      <c r="G6" s="12"/>
      <c r="H6" s="11"/>
      <c r="I6" s="10" t="s">
        <v>5</v>
      </c>
      <c r="J6" s="10" t="s">
        <v>2</v>
      </c>
      <c r="K6" s="10"/>
      <c r="L6" s="10" t="s">
        <v>6</v>
      </c>
      <c r="M6" s="10"/>
      <c r="N6" s="10"/>
      <c r="O6" s="10" t="s">
        <v>7</v>
      </c>
      <c r="P6" s="10"/>
      <c r="Q6" s="9" t="s">
        <v>8</v>
      </c>
      <c r="R6" s="12"/>
      <c r="S6" s="13"/>
    </row>
    <row r="7" spans="1:19" ht="14.1" customHeight="1">
      <c r="A7" s="14" t="s">
        <v>9</v>
      </c>
      <c r="B7" s="15" t="s">
        <v>10</v>
      </c>
      <c r="C7" s="16" t="s">
        <v>11</v>
      </c>
      <c r="D7" s="16" t="s">
        <v>12</v>
      </c>
      <c r="E7" s="15" t="s">
        <v>10</v>
      </c>
      <c r="F7" s="16" t="s">
        <v>11</v>
      </c>
      <c r="G7" s="16" t="s">
        <v>12</v>
      </c>
      <c r="H7" s="15" t="s">
        <v>10</v>
      </c>
      <c r="I7" s="16" t="s">
        <v>11</v>
      </c>
      <c r="J7" s="16" t="s">
        <v>12</v>
      </c>
      <c r="K7" s="15" t="s">
        <v>10</v>
      </c>
      <c r="L7" s="16" t="s">
        <v>11</v>
      </c>
      <c r="M7" s="16" t="s">
        <v>12</v>
      </c>
      <c r="N7" s="15" t="s">
        <v>10</v>
      </c>
      <c r="O7" s="16" t="s">
        <v>11</v>
      </c>
      <c r="P7" s="16" t="s">
        <v>12</v>
      </c>
      <c r="Q7" s="15" t="s">
        <v>10</v>
      </c>
      <c r="R7" s="16" t="s">
        <v>12</v>
      </c>
      <c r="S7" s="13"/>
    </row>
    <row r="8" spans="1:19" ht="14.1" customHeight="1">
      <c r="A8" s="17"/>
      <c r="B8" s="15" t="s">
        <v>13</v>
      </c>
      <c r="C8" s="16" t="s">
        <v>14</v>
      </c>
      <c r="D8" s="16" t="s">
        <v>15</v>
      </c>
      <c r="E8" s="15" t="s">
        <v>13</v>
      </c>
      <c r="F8" s="16" t="s">
        <v>14</v>
      </c>
      <c r="G8" s="16" t="s">
        <v>15</v>
      </c>
      <c r="H8" s="15" t="s">
        <v>13</v>
      </c>
      <c r="I8" s="16" t="s">
        <v>14</v>
      </c>
      <c r="J8" s="16" t="s">
        <v>15</v>
      </c>
      <c r="K8" s="15" t="s">
        <v>13</v>
      </c>
      <c r="L8" s="16" t="s">
        <v>14</v>
      </c>
      <c r="M8" s="16" t="s">
        <v>15</v>
      </c>
      <c r="N8" s="15" t="s">
        <v>13</v>
      </c>
      <c r="O8" s="16" t="s">
        <v>14</v>
      </c>
      <c r="P8" s="16" t="s">
        <v>15</v>
      </c>
      <c r="Q8" s="15" t="s">
        <v>13</v>
      </c>
      <c r="R8" s="16" t="s">
        <v>15</v>
      </c>
      <c r="S8" s="13"/>
    </row>
    <row r="9" spans="1:19" s="25" customFormat="1" ht="24.95" customHeight="1">
      <c r="A9" s="18" t="s">
        <v>16</v>
      </c>
      <c r="B9" s="19">
        <v>8731</v>
      </c>
      <c r="C9" s="20">
        <v>1788</v>
      </c>
      <c r="D9" s="21">
        <v>15611.028</v>
      </c>
      <c r="E9" s="19">
        <v>10987</v>
      </c>
      <c r="F9" s="20">
        <v>1461</v>
      </c>
      <c r="G9" s="21">
        <v>16052.007</v>
      </c>
      <c r="H9" s="19">
        <v>13456</v>
      </c>
      <c r="I9" s="20">
        <v>3789</v>
      </c>
      <c r="J9" s="21">
        <v>50984.784</v>
      </c>
      <c r="K9" s="19">
        <v>52266</v>
      </c>
      <c r="L9" s="20">
        <v>2689</v>
      </c>
      <c r="M9" s="22">
        <v>140543.274</v>
      </c>
      <c r="N9" s="19">
        <v>239</v>
      </c>
      <c r="O9" s="20">
        <v>890</v>
      </c>
      <c r="P9" s="21">
        <v>212.71</v>
      </c>
      <c r="Q9" s="19">
        <f>N9+K9+H9+E9+B9</f>
        <v>85679</v>
      </c>
      <c r="R9" s="23">
        <f>P9+M9+J9+G9+D9</f>
        <v>223403.80299999999</v>
      </c>
      <c r="S9" s="24"/>
    </row>
    <row r="10" spans="1:19" s="25" customFormat="1" ht="24.95" customHeight="1">
      <c r="A10" s="26" t="s">
        <v>17</v>
      </c>
      <c r="B10" s="27">
        <v>34687</v>
      </c>
      <c r="C10" s="28">
        <v>1987</v>
      </c>
      <c r="D10" s="29">
        <v>68923.069000000003</v>
      </c>
      <c r="E10" s="27">
        <v>7890</v>
      </c>
      <c r="F10" s="28">
        <v>1406.63</v>
      </c>
      <c r="G10" s="29">
        <v>11098.310700000002</v>
      </c>
      <c r="H10" s="27">
        <v>11879</v>
      </c>
      <c r="I10" s="28">
        <v>3895</v>
      </c>
      <c r="J10" s="29">
        <v>46268.705000000002</v>
      </c>
      <c r="K10" s="27">
        <v>10720.28</v>
      </c>
      <c r="L10" s="28">
        <v>2605</v>
      </c>
      <c r="M10" s="30">
        <v>27926.329400000002</v>
      </c>
      <c r="N10" s="27"/>
      <c r="O10" s="31"/>
      <c r="P10" s="29"/>
      <c r="Q10" s="27">
        <f t="shared" ref="Q10:Q15" si="0">N10+K10+H10+E10+B10</f>
        <v>65176.28</v>
      </c>
      <c r="R10" s="32">
        <f t="shared" ref="R10:R15" si="1">P10+M10+J10+G10+D10</f>
        <v>154216.41409999999</v>
      </c>
      <c r="S10" s="24"/>
    </row>
    <row r="11" spans="1:19" s="25" customFormat="1" ht="24.95" customHeight="1">
      <c r="A11" s="26" t="s">
        <v>18</v>
      </c>
      <c r="B11" s="27">
        <v>6487.317258104682</v>
      </c>
      <c r="C11" s="33">
        <v>1478</v>
      </c>
      <c r="D11" s="29">
        <v>9588.2549074787203</v>
      </c>
      <c r="E11" s="27">
        <v>20132.253058315</v>
      </c>
      <c r="F11" s="33">
        <v>1456</v>
      </c>
      <c r="G11" s="29">
        <v>29312.560452906637</v>
      </c>
      <c r="H11" s="27">
        <v>19681.550525999646</v>
      </c>
      <c r="I11" s="33">
        <v>3760</v>
      </c>
      <c r="J11" s="29">
        <v>74002.629977758683</v>
      </c>
      <c r="K11" s="27"/>
      <c r="L11" s="33"/>
      <c r="M11" s="30"/>
      <c r="N11" s="27"/>
      <c r="O11" s="33"/>
      <c r="P11" s="29"/>
      <c r="Q11" s="27">
        <f t="shared" si="0"/>
        <v>46301.120842419332</v>
      </c>
      <c r="R11" s="32">
        <f t="shared" si="1"/>
        <v>112903.44533814404</v>
      </c>
      <c r="S11" s="24"/>
    </row>
    <row r="12" spans="1:19" s="25" customFormat="1" ht="24.95" customHeight="1">
      <c r="A12" s="26" t="s">
        <v>19</v>
      </c>
      <c r="B12" s="27"/>
      <c r="C12" s="33"/>
      <c r="D12" s="30"/>
      <c r="E12" s="27"/>
      <c r="F12" s="33"/>
      <c r="G12" s="30"/>
      <c r="H12" s="27"/>
      <c r="I12" s="33"/>
      <c r="J12" s="29"/>
      <c r="K12" s="27">
        <v>564.29999999999995</v>
      </c>
      <c r="L12" s="33">
        <v>5800</v>
      </c>
      <c r="M12" s="30">
        <v>3272.9399999999996</v>
      </c>
      <c r="N12" s="27"/>
      <c r="O12" s="33"/>
      <c r="P12" s="29"/>
      <c r="Q12" s="27">
        <f t="shared" si="0"/>
        <v>564.29999999999995</v>
      </c>
      <c r="R12" s="32">
        <f t="shared" si="1"/>
        <v>3272.9399999999996</v>
      </c>
      <c r="S12" s="24"/>
    </row>
    <row r="13" spans="1:19" s="25" customFormat="1" ht="24.95" customHeight="1">
      <c r="A13" s="26" t="s">
        <v>20</v>
      </c>
      <c r="B13" s="27"/>
      <c r="C13" s="33"/>
      <c r="D13" s="30"/>
      <c r="E13" s="27"/>
      <c r="F13" s="33"/>
      <c r="G13" s="30"/>
      <c r="H13" s="27">
        <v>1415</v>
      </c>
      <c r="I13" s="33">
        <v>1600</v>
      </c>
      <c r="J13" s="29">
        <v>2264</v>
      </c>
      <c r="K13" s="27">
        <v>19227.5</v>
      </c>
      <c r="L13" s="33">
        <v>3000</v>
      </c>
      <c r="M13" s="30">
        <v>57682.5</v>
      </c>
      <c r="N13" s="34"/>
      <c r="O13" s="35"/>
      <c r="P13" s="36"/>
      <c r="Q13" s="27">
        <f t="shared" si="0"/>
        <v>20642.5</v>
      </c>
      <c r="R13" s="32">
        <f t="shared" si="1"/>
        <v>59946.5</v>
      </c>
      <c r="S13" s="24"/>
    </row>
    <row r="14" spans="1:19" s="25" customFormat="1" ht="24.95" customHeight="1">
      <c r="A14" s="26" t="s">
        <v>21</v>
      </c>
      <c r="B14" s="27"/>
      <c r="C14" s="33"/>
      <c r="D14" s="30"/>
      <c r="E14" s="27"/>
      <c r="F14" s="33"/>
      <c r="G14" s="30"/>
      <c r="H14" s="27">
        <v>53.57</v>
      </c>
      <c r="I14" s="33">
        <v>1800</v>
      </c>
      <c r="J14" s="29">
        <v>96.426000000000002</v>
      </c>
      <c r="K14" s="27">
        <v>2736.9</v>
      </c>
      <c r="L14" s="33">
        <v>5900</v>
      </c>
      <c r="M14" s="30">
        <v>16147.71</v>
      </c>
      <c r="N14" s="27"/>
      <c r="O14" s="33"/>
      <c r="P14" s="29"/>
      <c r="Q14" s="27">
        <f t="shared" si="0"/>
        <v>2790.4700000000003</v>
      </c>
      <c r="R14" s="32">
        <f t="shared" si="1"/>
        <v>16244.135999999999</v>
      </c>
      <c r="S14" s="24"/>
    </row>
    <row r="15" spans="1:19" s="25" customFormat="1" ht="24.95" customHeight="1">
      <c r="A15" s="37" t="s">
        <v>22</v>
      </c>
      <c r="B15" s="27"/>
      <c r="C15" s="33"/>
      <c r="D15" s="30"/>
      <c r="E15" s="27"/>
      <c r="F15" s="33"/>
      <c r="G15" s="30"/>
      <c r="H15" s="27">
        <v>3540</v>
      </c>
      <c r="I15" s="33">
        <v>2000</v>
      </c>
      <c r="J15" s="29">
        <v>7080</v>
      </c>
      <c r="K15" s="27">
        <v>39921.800000000003</v>
      </c>
      <c r="L15" s="33">
        <v>3100</v>
      </c>
      <c r="M15" s="30">
        <v>123757.58000000002</v>
      </c>
      <c r="N15" s="38"/>
      <c r="O15" s="39"/>
      <c r="P15" s="40"/>
      <c r="Q15" s="38">
        <f t="shared" si="0"/>
        <v>43461.8</v>
      </c>
      <c r="R15" s="41">
        <f t="shared" si="1"/>
        <v>130837.58000000002</v>
      </c>
      <c r="S15" s="24"/>
    </row>
    <row r="16" spans="1:19" ht="12.95" customHeight="1">
      <c r="A16" s="42"/>
      <c r="B16" s="43"/>
      <c r="C16" s="44"/>
      <c r="D16" s="44"/>
      <c r="E16" s="43"/>
      <c r="F16" s="44"/>
      <c r="G16" s="44"/>
      <c r="H16" s="43"/>
      <c r="I16" s="44"/>
      <c r="J16" s="44"/>
      <c r="K16" s="45"/>
      <c r="L16" s="46"/>
      <c r="M16" s="46"/>
      <c r="N16" s="45"/>
      <c r="O16" s="46"/>
      <c r="P16" s="46"/>
      <c r="Q16" s="43"/>
      <c r="R16" s="44"/>
      <c r="S16" s="13"/>
    </row>
    <row r="17" spans="1:19" ht="17.100000000000001" customHeight="1">
      <c r="A17" s="14" t="s">
        <v>23</v>
      </c>
      <c r="B17" s="47">
        <f>SUM(B9:B15)</f>
        <v>49905.317258104682</v>
      </c>
      <c r="C17" s="48">
        <f>(D17/B17)*1000</f>
        <v>1886.0185062182557</v>
      </c>
      <c r="D17" s="48">
        <f>SUM(D9:D15)</f>
        <v>94122.351907478733</v>
      </c>
      <c r="E17" s="47">
        <f>SUM(E9:E11)</f>
        <v>39009.253058315</v>
      </c>
      <c r="F17" s="48">
        <f>(G17/E17)*1000</f>
        <v>1447.4226940080134</v>
      </c>
      <c r="G17" s="48">
        <f>SUM(G9:G11)</f>
        <v>56462.878152906633</v>
      </c>
      <c r="H17" s="47">
        <f>SUM(H9:H15)</f>
        <v>50025.120525999642</v>
      </c>
      <c r="I17" s="48">
        <f>(J17/H17)*1000</f>
        <v>3612.1161344098105</v>
      </c>
      <c r="J17" s="48">
        <f>SUM(J9:J15)</f>
        <v>180696.54497775869</v>
      </c>
      <c r="K17" s="47">
        <f>SUM(K9:K15)</f>
        <v>125436.78</v>
      </c>
      <c r="L17" s="48">
        <f>(M17/K17)*1000</f>
        <v>2944.3543863291134</v>
      </c>
      <c r="M17" s="48">
        <f>SUM(M9:M15)</f>
        <v>369330.3334</v>
      </c>
      <c r="N17" s="47">
        <f>SUM(N9:N11)</f>
        <v>239</v>
      </c>
      <c r="O17" s="48">
        <f>(P17/N17)*1000</f>
        <v>890</v>
      </c>
      <c r="P17" s="48">
        <f>SUM(P9:P11)</f>
        <v>212.71</v>
      </c>
      <c r="Q17" s="47">
        <f>SUM(Q9:Q15)</f>
        <v>264615.47084241931</v>
      </c>
      <c r="R17" s="48">
        <f>SUM(R9:R15)</f>
        <v>700824.81843814417</v>
      </c>
      <c r="S17" s="13"/>
    </row>
    <row r="18" spans="1:19" ht="12.95" customHeight="1">
      <c r="A18" s="49"/>
      <c r="B18" s="50"/>
      <c r="C18" s="51"/>
      <c r="D18" s="51"/>
      <c r="E18" s="50"/>
      <c r="F18" s="51"/>
      <c r="G18" s="51"/>
      <c r="H18" s="50"/>
      <c r="I18" s="51"/>
      <c r="J18" s="51"/>
      <c r="K18" s="52"/>
      <c r="L18" s="53"/>
      <c r="M18" s="53"/>
      <c r="N18" s="52"/>
      <c r="O18" s="53"/>
      <c r="P18" s="53"/>
      <c r="Q18" s="50"/>
      <c r="R18" s="51"/>
      <c r="S18" s="13"/>
    </row>
    <row r="19" spans="1:19" ht="17.100000000000001" customHeight="1">
      <c r="A19" s="54" t="s">
        <v>24</v>
      </c>
      <c r="B19" s="47">
        <v>44676</v>
      </c>
      <c r="C19" s="55">
        <v>918.2357417852985</v>
      </c>
      <c r="D19" s="55">
        <v>41023.1</v>
      </c>
      <c r="E19" s="47">
        <v>38700</v>
      </c>
      <c r="F19" s="55">
        <v>920.15503875969</v>
      </c>
      <c r="G19" s="55">
        <v>35610</v>
      </c>
      <c r="H19" s="47">
        <v>50850</v>
      </c>
      <c r="I19" s="55">
        <v>2377.2861356932153</v>
      </c>
      <c r="J19" s="55">
        <v>120885</v>
      </c>
      <c r="K19" s="56">
        <v>122753.09</v>
      </c>
      <c r="L19" s="57">
        <v>2728.561096099495</v>
      </c>
      <c r="M19" s="57">
        <v>334939.30579999997</v>
      </c>
      <c r="N19" s="56">
        <v>162</v>
      </c>
      <c r="O19" s="57">
        <v>500</v>
      </c>
      <c r="P19" s="57">
        <v>81</v>
      </c>
      <c r="Q19" s="47">
        <v>193467</v>
      </c>
      <c r="R19" s="55">
        <v>318957.21580000001</v>
      </c>
      <c r="S19" s="13"/>
    </row>
    <row r="20" spans="1:19" ht="12.95" customHeight="1">
      <c r="A20" s="49"/>
      <c r="B20" s="58"/>
      <c r="C20" s="59"/>
      <c r="D20" s="59"/>
      <c r="E20" s="60"/>
      <c r="F20" s="61"/>
      <c r="G20" s="61"/>
      <c r="H20" s="60"/>
      <c r="I20" s="61"/>
      <c r="J20" s="61"/>
      <c r="K20" s="62"/>
      <c r="L20" s="63"/>
      <c r="M20" s="63"/>
      <c r="N20" s="62"/>
      <c r="O20" s="63"/>
      <c r="P20" s="63"/>
      <c r="Q20" s="50"/>
      <c r="R20" s="51"/>
      <c r="S20" s="13"/>
    </row>
    <row r="21" spans="1:19" ht="17.100000000000001" customHeight="1">
      <c r="A21" s="14" t="s">
        <v>25</v>
      </c>
      <c r="B21" s="64">
        <f t="shared" ref="B21:R21" si="2">((B17-B19)/B19)*100</f>
        <v>11.704980880348916</v>
      </c>
      <c r="C21" s="65">
        <f t="shared" si="2"/>
        <v>105.39589349368232</v>
      </c>
      <c r="D21" s="66">
        <f t="shared" si="2"/>
        <v>129.4374435561397</v>
      </c>
      <c r="E21" s="64">
        <f t="shared" si="2"/>
        <v>0.79910350985788137</v>
      </c>
      <c r="F21" s="65">
        <f t="shared" si="2"/>
        <v>57.302045094383928</v>
      </c>
      <c r="G21" s="66">
        <f t="shared" si="2"/>
        <v>58.559051257811376</v>
      </c>
      <c r="H21" s="64">
        <f t="shared" si="2"/>
        <v>-1.6221818564412147</v>
      </c>
      <c r="I21" s="65">
        <f t="shared" si="2"/>
        <v>51.942842730478446</v>
      </c>
      <c r="J21" s="66">
        <f t="shared" si="2"/>
        <v>49.478053503543606</v>
      </c>
      <c r="K21" s="64">
        <f t="shared" si="2"/>
        <v>2.1862504642449343</v>
      </c>
      <c r="L21" s="65">
        <f t="shared" si="2"/>
        <v>7.9086845641131891</v>
      </c>
      <c r="M21" s="66">
        <f t="shared" si="2"/>
        <v>10.267838681356709</v>
      </c>
      <c r="N21" s="64">
        <f t="shared" si="2"/>
        <v>47.530864197530867</v>
      </c>
      <c r="O21" s="65">
        <f t="shared" si="2"/>
        <v>78</v>
      </c>
      <c r="P21" s="66">
        <f t="shared" si="2"/>
        <v>162.60493827160494</v>
      </c>
      <c r="Q21" s="65">
        <f t="shared" si="2"/>
        <v>36.775507369432155</v>
      </c>
      <c r="R21" s="66">
        <f t="shared" si="2"/>
        <v>119.72376974772432</v>
      </c>
      <c r="S21" s="13"/>
    </row>
    <row r="22" spans="1:19" ht="12.95" customHeight="1" thickBot="1">
      <c r="A22" s="49"/>
      <c r="B22" s="67"/>
      <c r="C22" s="68"/>
      <c r="D22" s="68"/>
      <c r="E22" s="67"/>
      <c r="F22" s="68"/>
      <c r="G22" s="68"/>
      <c r="H22" s="67"/>
      <c r="I22" s="68"/>
      <c r="J22" s="68"/>
      <c r="K22" s="69"/>
      <c r="L22" s="70"/>
      <c r="M22" s="70"/>
      <c r="N22" s="69"/>
      <c r="O22" s="70"/>
      <c r="P22" s="70"/>
      <c r="Q22" s="71"/>
      <c r="R22" s="68"/>
      <c r="S22" s="13"/>
    </row>
    <row r="23" spans="1:19" ht="14.1" customHeight="1" thickTop="1">
      <c r="A23" s="72"/>
      <c r="B23" s="12"/>
      <c r="C23" s="12"/>
      <c r="D23" s="12"/>
      <c r="E23" s="12"/>
      <c r="F23" s="12"/>
      <c r="G23" s="12"/>
      <c r="H23" s="12"/>
      <c r="I23" s="12"/>
      <c r="J23" s="12"/>
      <c r="K23" s="73"/>
      <c r="L23" s="73"/>
      <c r="M23" s="73"/>
      <c r="N23" s="10"/>
      <c r="O23" s="12"/>
      <c r="P23" s="12"/>
      <c r="Q23" s="12"/>
      <c r="R23" s="12"/>
    </row>
    <row r="24" spans="1:19" ht="14.1" customHeight="1" thickBot="1">
      <c r="A24" s="74"/>
      <c r="B24" s="2"/>
      <c r="C24" s="2"/>
      <c r="D24" s="2"/>
      <c r="E24" s="2"/>
      <c r="F24" s="2"/>
      <c r="G24" s="2"/>
      <c r="H24" s="2"/>
      <c r="I24" s="2"/>
      <c r="J24" s="2"/>
      <c r="K24" s="4"/>
      <c r="L24" s="4"/>
      <c r="M24" s="4"/>
      <c r="N24" s="2"/>
      <c r="O24" s="2"/>
      <c r="P24" s="2"/>
      <c r="Q24" s="2"/>
    </row>
    <row r="25" spans="1:19" ht="14.1" customHeight="1" thickTop="1">
      <c r="A25" s="75" t="s">
        <v>2</v>
      </c>
      <c r="B25" s="9" t="s">
        <v>26</v>
      </c>
      <c r="C25" s="12"/>
      <c r="D25" s="12"/>
      <c r="E25" s="11"/>
      <c r="F25" s="10" t="s">
        <v>27</v>
      </c>
      <c r="G25" s="12"/>
      <c r="H25" s="11"/>
      <c r="I25" s="10" t="s">
        <v>28</v>
      </c>
      <c r="J25" s="10" t="s">
        <v>2</v>
      </c>
      <c r="K25" s="11"/>
      <c r="L25" s="10" t="s">
        <v>29</v>
      </c>
      <c r="M25" s="10"/>
      <c r="N25" s="11"/>
      <c r="O25" s="10" t="s">
        <v>30</v>
      </c>
      <c r="P25" s="12"/>
      <c r="Q25" s="11"/>
      <c r="R25" s="10" t="s">
        <v>31</v>
      </c>
      <c r="S25" s="76"/>
    </row>
    <row r="26" spans="1:19" ht="14.1" customHeight="1">
      <c r="A26" s="14" t="s">
        <v>9</v>
      </c>
      <c r="B26" s="15" t="s">
        <v>10</v>
      </c>
      <c r="C26" s="16" t="s">
        <v>11</v>
      </c>
      <c r="D26" s="16" t="s">
        <v>12</v>
      </c>
      <c r="E26" s="15" t="s">
        <v>10</v>
      </c>
      <c r="F26" s="16" t="s">
        <v>11</v>
      </c>
      <c r="G26" s="16" t="s">
        <v>12</v>
      </c>
      <c r="H26" s="15" t="s">
        <v>10</v>
      </c>
      <c r="I26" s="16" t="s">
        <v>11</v>
      </c>
      <c r="J26" s="16" t="s">
        <v>12</v>
      </c>
      <c r="K26" s="15" t="s">
        <v>10</v>
      </c>
      <c r="L26" s="16" t="s">
        <v>11</v>
      </c>
      <c r="M26" s="16" t="s">
        <v>12</v>
      </c>
      <c r="N26" s="15" t="s">
        <v>10</v>
      </c>
      <c r="O26" s="16" t="s">
        <v>11</v>
      </c>
      <c r="P26" s="77" t="s">
        <v>12</v>
      </c>
      <c r="Q26" s="15" t="s">
        <v>10</v>
      </c>
      <c r="R26" s="77" t="s">
        <v>11</v>
      </c>
      <c r="S26" s="78" t="s">
        <v>12</v>
      </c>
    </row>
    <row r="27" spans="1:19" ht="14.1" customHeight="1">
      <c r="A27" s="79"/>
      <c r="B27" s="15" t="s">
        <v>13</v>
      </c>
      <c r="C27" s="16" t="s">
        <v>14</v>
      </c>
      <c r="D27" s="16" t="s">
        <v>15</v>
      </c>
      <c r="E27" s="15" t="s">
        <v>13</v>
      </c>
      <c r="F27" s="16" t="s">
        <v>14</v>
      </c>
      <c r="G27" s="16" t="s">
        <v>15</v>
      </c>
      <c r="H27" s="15" t="s">
        <v>13</v>
      </c>
      <c r="I27" s="16" t="s">
        <v>14</v>
      </c>
      <c r="J27" s="16" t="s">
        <v>15</v>
      </c>
      <c r="K27" s="15" t="s">
        <v>13</v>
      </c>
      <c r="L27" s="16" t="s">
        <v>14</v>
      </c>
      <c r="M27" s="16" t="s">
        <v>15</v>
      </c>
      <c r="N27" s="15" t="s">
        <v>13</v>
      </c>
      <c r="O27" s="16" t="s">
        <v>14</v>
      </c>
      <c r="P27" s="77" t="s">
        <v>15</v>
      </c>
      <c r="Q27" s="15" t="s">
        <v>13</v>
      </c>
      <c r="R27" s="77" t="s">
        <v>14</v>
      </c>
      <c r="S27" s="78" t="s">
        <v>15</v>
      </c>
    </row>
    <row r="28" spans="1:19" s="25" customFormat="1" ht="24.95" customHeight="1">
      <c r="A28" s="80" t="s">
        <v>32</v>
      </c>
      <c r="B28" s="81">
        <v>28027.439999999999</v>
      </c>
      <c r="C28" s="82">
        <v>2523.2399999999998</v>
      </c>
      <c r="D28" s="21">
        <v>70719.957705599998</v>
      </c>
      <c r="E28" s="81"/>
      <c r="F28" s="82"/>
      <c r="G28" s="21"/>
      <c r="H28" s="81">
        <v>626.21416256952011</v>
      </c>
      <c r="I28" s="82">
        <v>604</v>
      </c>
      <c r="J28" s="21">
        <v>378.23335419199014</v>
      </c>
      <c r="K28" s="81">
        <v>300</v>
      </c>
      <c r="L28" s="82">
        <v>10761.069</v>
      </c>
      <c r="M28" s="21">
        <v>3228.3206999999998</v>
      </c>
      <c r="N28" s="81">
        <v>433.08265996306557</v>
      </c>
      <c r="O28" s="82">
        <v>13000</v>
      </c>
      <c r="P28" s="22">
        <v>5630.0745795198518</v>
      </c>
      <c r="Q28" s="81">
        <v>1089</v>
      </c>
      <c r="R28" s="82">
        <v>749</v>
      </c>
      <c r="S28" s="21">
        <v>815.66099999999994</v>
      </c>
    </row>
    <row r="29" spans="1:19" s="25" customFormat="1" ht="24.95" customHeight="1">
      <c r="A29" s="83" t="s">
        <v>17</v>
      </c>
      <c r="B29" s="84">
        <v>58669.135000000002</v>
      </c>
      <c r="C29" s="28">
        <v>2468.1799999999998</v>
      </c>
      <c r="D29" s="29">
        <v>144805.9856243</v>
      </c>
      <c r="E29" s="84"/>
      <c r="F29" s="28"/>
      <c r="G29" s="29"/>
      <c r="H29" s="84">
        <v>698</v>
      </c>
      <c r="I29" s="28">
        <v>579.25</v>
      </c>
      <c r="J29" s="29">
        <v>404.31650000000002</v>
      </c>
      <c r="K29" s="84">
        <v>683.75250933217205</v>
      </c>
      <c r="L29" s="28">
        <v>12761.32</v>
      </c>
      <c r="M29" s="29">
        <v>8725.5845723908333</v>
      </c>
      <c r="N29" s="84">
        <v>61.375</v>
      </c>
      <c r="O29" s="28">
        <v>11700</v>
      </c>
      <c r="P29" s="30">
        <v>718.08749999999998</v>
      </c>
      <c r="Q29" s="84">
        <v>1296.4449999999999</v>
      </c>
      <c r="R29" s="31">
        <v>1004</v>
      </c>
      <c r="S29" s="29">
        <v>1301.63078</v>
      </c>
    </row>
    <row r="30" spans="1:19" s="25" customFormat="1" ht="24.95" customHeight="1">
      <c r="A30" s="83" t="s">
        <v>33</v>
      </c>
      <c r="B30" s="84">
        <v>41997.944999999992</v>
      </c>
      <c r="C30" s="28">
        <v>2125</v>
      </c>
      <c r="D30" s="29">
        <v>89245.633124999978</v>
      </c>
      <c r="E30" s="84"/>
      <c r="F30" s="28"/>
      <c r="G30" s="29"/>
      <c r="H30" s="84">
        <v>598</v>
      </c>
      <c r="I30" s="28">
        <v>719</v>
      </c>
      <c r="J30" s="29">
        <v>429.96199999999999</v>
      </c>
      <c r="K30" s="84">
        <v>400</v>
      </c>
      <c r="L30" s="28">
        <v>7800.6912000000002</v>
      </c>
      <c r="M30" s="29">
        <v>3120.27648</v>
      </c>
      <c r="N30" s="84">
        <v>431.18331987982566</v>
      </c>
      <c r="O30" s="28">
        <v>13000</v>
      </c>
      <c r="P30" s="30">
        <v>5605.383158437734</v>
      </c>
      <c r="Q30" s="84">
        <v>400</v>
      </c>
      <c r="R30" s="31">
        <v>845</v>
      </c>
      <c r="S30" s="29">
        <v>338</v>
      </c>
    </row>
    <row r="31" spans="1:19" ht="12.95" customHeight="1">
      <c r="A31" s="42"/>
      <c r="B31" s="43"/>
      <c r="C31" s="44"/>
      <c r="D31" s="44"/>
      <c r="E31" s="43"/>
      <c r="F31" s="44"/>
      <c r="G31" s="44"/>
      <c r="H31" s="43"/>
      <c r="I31" s="44"/>
      <c r="J31" s="44"/>
      <c r="K31" s="45"/>
      <c r="L31" s="46"/>
      <c r="M31" s="46"/>
      <c r="N31" s="43"/>
      <c r="O31" s="44"/>
      <c r="P31" s="44"/>
      <c r="Q31" s="43"/>
      <c r="R31" s="44"/>
      <c r="S31" s="85"/>
    </row>
    <row r="32" spans="1:19" ht="17.100000000000001" customHeight="1">
      <c r="A32" s="14" t="s">
        <v>34</v>
      </c>
      <c r="B32" s="47">
        <f>SUM(B28:B30)</f>
        <v>128694.51999999999</v>
      </c>
      <c r="C32" s="48">
        <f>(D32/B32)*1000</f>
        <v>2368.1783533199396</v>
      </c>
      <c r="D32" s="48">
        <f>SUM(D28:D30)</f>
        <v>304771.57645489997</v>
      </c>
      <c r="E32" s="47"/>
      <c r="F32" s="48"/>
      <c r="G32" s="48"/>
      <c r="H32" s="47">
        <f>SUM(H28:H30)</f>
        <v>1922.2141625695201</v>
      </c>
      <c r="I32" s="48">
        <f>(J32/H32)*1000</f>
        <v>630.78915856657954</v>
      </c>
      <c r="J32" s="48">
        <f>SUM(J28:J30)</f>
        <v>1212.5118541919901</v>
      </c>
      <c r="K32" s="47">
        <f>SUM(K28:K30)</f>
        <v>1383.7525093321719</v>
      </c>
      <c r="L32" s="48">
        <f>(M32/K32)*1000</f>
        <v>10893.697861957953</v>
      </c>
      <c r="M32" s="48">
        <f>SUM(M28:M30)</f>
        <v>15074.181752390834</v>
      </c>
      <c r="N32" s="47">
        <f>SUM(N28:N30)</f>
        <v>925.64097984289128</v>
      </c>
      <c r="O32" s="48">
        <f>(P32/N32)*1000</f>
        <v>12913.802973574546</v>
      </c>
      <c r="P32" s="48">
        <f>SUM(P28:P30)</f>
        <v>11953.545237957585</v>
      </c>
      <c r="Q32" s="47">
        <f>SUM(Q28:Q30)</f>
        <v>2785.4449999999997</v>
      </c>
      <c r="R32" s="48">
        <f>(S32/Q32)*1000</f>
        <v>881.4720017806851</v>
      </c>
      <c r="S32" s="86">
        <f>SUM(S28:S30)</f>
        <v>2455.29178</v>
      </c>
    </row>
    <row r="33" spans="1:19" ht="12.95" customHeight="1">
      <c r="A33" s="49"/>
      <c r="B33" s="50"/>
      <c r="C33" s="51"/>
      <c r="D33" s="51"/>
      <c r="E33" s="50"/>
      <c r="F33" s="51"/>
      <c r="G33" s="51"/>
      <c r="H33" s="50"/>
      <c r="I33" s="51"/>
      <c r="J33" s="51"/>
      <c r="K33" s="52"/>
      <c r="L33" s="53"/>
      <c r="M33" s="53"/>
      <c r="N33" s="50"/>
      <c r="O33" s="87"/>
      <c r="P33" s="87"/>
      <c r="Q33" s="50"/>
      <c r="R33" s="87"/>
      <c r="S33" s="88"/>
    </row>
    <row r="34" spans="1:19" ht="17.25" customHeight="1">
      <c r="A34" s="54" t="s">
        <v>24</v>
      </c>
      <c r="B34" s="47">
        <v>123900</v>
      </c>
      <c r="C34" s="55">
        <v>1829.7820823244554</v>
      </c>
      <c r="D34" s="55">
        <v>226710</v>
      </c>
      <c r="E34" s="47"/>
      <c r="F34" s="55"/>
      <c r="G34" s="55"/>
      <c r="H34" s="47">
        <v>1800</v>
      </c>
      <c r="I34" s="55">
        <v>591.80555555555554</v>
      </c>
      <c r="J34" s="55">
        <v>1065.25</v>
      </c>
      <c r="K34" s="56">
        <v>1280</v>
      </c>
      <c r="L34" s="57">
        <v>10576.59375</v>
      </c>
      <c r="M34" s="57">
        <v>13538.04</v>
      </c>
      <c r="N34" s="47">
        <v>440</v>
      </c>
      <c r="O34" s="48">
        <v>13027.272727272728</v>
      </c>
      <c r="P34" s="48">
        <v>5732</v>
      </c>
      <c r="Q34" s="47">
        <v>2250</v>
      </c>
      <c r="R34" s="48">
        <v>733.33333333333326</v>
      </c>
      <c r="S34" s="86">
        <v>1650</v>
      </c>
    </row>
    <row r="35" spans="1:19" ht="12.95" customHeight="1">
      <c r="A35" s="49"/>
      <c r="B35" s="58"/>
      <c r="C35" s="61"/>
      <c r="D35" s="59"/>
      <c r="E35" s="60"/>
      <c r="F35" s="61"/>
      <c r="G35" s="61"/>
      <c r="H35" s="60"/>
      <c r="I35" s="61"/>
      <c r="J35" s="61"/>
      <c r="K35" s="62"/>
      <c r="L35" s="63"/>
      <c r="M35" s="63"/>
      <c r="N35" s="60"/>
      <c r="O35" s="89"/>
      <c r="P35" s="89"/>
      <c r="Q35" s="60"/>
      <c r="R35" s="89"/>
      <c r="S35" s="90"/>
    </row>
    <row r="36" spans="1:19" ht="17.25" customHeight="1">
      <c r="A36" s="14" t="s">
        <v>25</v>
      </c>
      <c r="B36" s="64">
        <f t="shared" ref="B36:S36" si="3">((B32-B34)/B34)*100</f>
        <v>3.869669087974164</v>
      </c>
      <c r="C36" s="65">
        <f t="shared" si="3"/>
        <v>29.424065094764451</v>
      </c>
      <c r="D36" s="66">
        <f t="shared" si="3"/>
        <v>34.432348134136106</v>
      </c>
      <c r="E36" s="65"/>
      <c r="F36" s="65"/>
      <c r="G36" s="66"/>
      <c r="H36" s="64">
        <f t="shared" si="3"/>
        <v>6.7896756983066728</v>
      </c>
      <c r="I36" s="65">
        <f t="shared" si="3"/>
        <v>6.5872316751788977</v>
      </c>
      <c r="J36" s="66">
        <f t="shared" si="3"/>
        <v>13.824159041726364</v>
      </c>
      <c r="K36" s="64">
        <f t="shared" si="3"/>
        <v>8.1056647915759328</v>
      </c>
      <c r="L36" s="65">
        <f t="shared" si="3"/>
        <v>2.9981685923972745</v>
      </c>
      <c r="M36" s="66">
        <f t="shared" si="3"/>
        <v>11.346854879959233</v>
      </c>
      <c r="N36" s="64">
        <f t="shared" si="3"/>
        <v>110.37294996429348</v>
      </c>
      <c r="O36" s="65">
        <f t="shared" si="3"/>
        <v>-0.87101695092812492</v>
      </c>
      <c r="P36" s="65">
        <f t="shared" si="3"/>
        <v>108.54056590993694</v>
      </c>
      <c r="Q36" s="64">
        <f t="shared" si="3"/>
        <v>23.79755555555554</v>
      </c>
      <c r="R36" s="65">
        <f t="shared" si="3"/>
        <v>20.200727515547982</v>
      </c>
      <c r="S36" s="66">
        <f t="shared" si="3"/>
        <v>48.805562424242424</v>
      </c>
    </row>
    <row r="37" spans="1:19" ht="12.95" customHeight="1" thickBot="1">
      <c r="A37" s="49"/>
      <c r="B37" s="91"/>
      <c r="C37" s="92"/>
      <c r="D37" s="93"/>
      <c r="E37" s="94"/>
      <c r="F37" s="92"/>
      <c r="G37" s="92"/>
      <c r="H37" s="94"/>
      <c r="I37" s="92"/>
      <c r="J37" s="92"/>
      <c r="K37" s="95"/>
      <c r="L37" s="96"/>
      <c r="M37" s="96"/>
      <c r="N37" s="97"/>
      <c r="O37" s="98"/>
      <c r="P37" s="98"/>
      <c r="Q37" s="97"/>
      <c r="R37" s="98"/>
      <c r="S37" s="99"/>
    </row>
    <row r="38" spans="1:19" ht="14.1" customHeight="1" thickTop="1" thickBo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1"/>
      <c r="L38" s="101"/>
      <c r="M38" s="101"/>
      <c r="N38" s="100"/>
      <c r="O38" s="100"/>
      <c r="P38" s="100"/>
      <c r="Q38" s="102"/>
    </row>
    <row r="39" spans="1:19" ht="16.5" thickTop="1">
      <c r="A39" s="75" t="s">
        <v>2</v>
      </c>
      <c r="B39" s="9"/>
      <c r="C39" s="12" t="s">
        <v>35</v>
      </c>
      <c r="D39" s="12"/>
      <c r="E39" s="11"/>
      <c r="F39" s="10" t="s">
        <v>36</v>
      </c>
      <c r="G39" s="76"/>
      <c r="H39" s="11"/>
      <c r="I39" s="10" t="s">
        <v>37</v>
      </c>
      <c r="J39" s="76"/>
    </row>
    <row r="40" spans="1:19" ht="15.75">
      <c r="A40" s="14" t="s">
        <v>9</v>
      </c>
      <c r="B40" s="15" t="s">
        <v>10</v>
      </c>
      <c r="C40" s="16" t="s">
        <v>11</v>
      </c>
      <c r="D40" s="16" t="s">
        <v>12</v>
      </c>
      <c r="E40" s="15" t="s">
        <v>10</v>
      </c>
      <c r="F40" s="16" t="s">
        <v>11</v>
      </c>
      <c r="G40" s="78" t="s">
        <v>12</v>
      </c>
      <c r="H40" s="15" t="s">
        <v>10</v>
      </c>
      <c r="I40" s="16" t="s">
        <v>11</v>
      </c>
      <c r="J40" s="78" t="s">
        <v>12</v>
      </c>
    </row>
    <row r="41" spans="1:19" ht="15.75">
      <c r="A41" s="79"/>
      <c r="B41" s="15" t="s">
        <v>13</v>
      </c>
      <c r="C41" s="16" t="s">
        <v>14</v>
      </c>
      <c r="D41" s="16" t="s">
        <v>15</v>
      </c>
      <c r="E41" s="15" t="s">
        <v>13</v>
      </c>
      <c r="F41" s="16" t="s">
        <v>14</v>
      </c>
      <c r="G41" s="78" t="s">
        <v>15</v>
      </c>
      <c r="H41" s="15" t="s">
        <v>13</v>
      </c>
      <c r="I41" s="16" t="s">
        <v>14</v>
      </c>
      <c r="J41" s="78" t="s">
        <v>15</v>
      </c>
    </row>
    <row r="42" spans="1:19" ht="18.75">
      <c r="A42" s="80" t="s">
        <v>32</v>
      </c>
      <c r="B42" s="81">
        <v>28</v>
      </c>
      <c r="C42" s="82">
        <v>10000</v>
      </c>
      <c r="D42" s="21">
        <f>(B42*C42)/1000</f>
        <v>280</v>
      </c>
      <c r="E42" s="81"/>
      <c r="F42" s="82"/>
      <c r="G42" s="21"/>
      <c r="H42" s="81">
        <v>10</v>
      </c>
      <c r="I42" s="82">
        <v>3500</v>
      </c>
      <c r="J42" s="21">
        <f t="shared" ref="J42:J44" si="4">(H42*I42)/1000</f>
        <v>35</v>
      </c>
    </row>
    <row r="43" spans="1:19" ht="18.75">
      <c r="A43" s="83" t="s">
        <v>17</v>
      </c>
      <c r="B43" s="84">
        <v>998</v>
      </c>
      <c r="C43" s="28">
        <v>10000</v>
      </c>
      <c r="D43" s="29">
        <f>(B43*C43)/1000</f>
        <v>9980</v>
      </c>
      <c r="E43" s="84"/>
      <c r="F43" s="28"/>
      <c r="G43" s="29"/>
      <c r="H43" s="84"/>
      <c r="I43" s="28"/>
      <c r="J43" s="29">
        <f t="shared" si="4"/>
        <v>0</v>
      </c>
    </row>
    <row r="44" spans="1:19" ht="18.75">
      <c r="A44" s="83" t="s">
        <v>33</v>
      </c>
      <c r="B44" s="84"/>
      <c r="C44" s="28"/>
      <c r="D44" s="29"/>
      <c r="E44" s="84">
        <v>5</v>
      </c>
      <c r="F44" s="28">
        <v>8500</v>
      </c>
      <c r="G44" s="29">
        <f t="shared" ref="G44" si="5">(E44*F44)/1000</f>
        <v>42.5</v>
      </c>
      <c r="H44" s="84">
        <v>77</v>
      </c>
      <c r="I44" s="28">
        <v>3500</v>
      </c>
      <c r="J44" s="29">
        <f t="shared" si="4"/>
        <v>269.5</v>
      </c>
    </row>
    <row r="45" spans="1:19" ht="18.75">
      <c r="A45" s="42"/>
      <c r="B45" s="43"/>
      <c r="C45" s="44"/>
      <c r="D45" s="44"/>
      <c r="E45" s="43"/>
      <c r="F45" s="44"/>
      <c r="G45" s="85"/>
      <c r="H45" s="43"/>
      <c r="I45" s="44"/>
      <c r="J45" s="85"/>
    </row>
    <row r="46" spans="1:19" ht="18.75">
      <c r="A46" s="14" t="s">
        <v>34</v>
      </c>
      <c r="B46" s="47">
        <f>SUM(B42:B44)</f>
        <v>1026</v>
      </c>
      <c r="C46" s="48">
        <f>(D46/B46)*1000</f>
        <v>10000</v>
      </c>
      <c r="D46" s="48">
        <f>SUM(D42:D44)</f>
        <v>10260</v>
      </c>
      <c r="E46" s="47">
        <f>SUM(E42:E44)</f>
        <v>5</v>
      </c>
      <c r="F46" s="48">
        <f>(G46/E46)*1000</f>
        <v>8500</v>
      </c>
      <c r="G46" s="48">
        <f>SUM(G42:G44)</f>
        <v>42.5</v>
      </c>
      <c r="H46" s="47">
        <f>SUM(H42:H44)</f>
        <v>87</v>
      </c>
      <c r="I46" s="48">
        <f>(J46/H46)*1000</f>
        <v>3500</v>
      </c>
      <c r="J46" s="86">
        <f>SUM(J42:J44)</f>
        <v>304.5</v>
      </c>
    </row>
    <row r="47" spans="1:19" ht="18.75">
      <c r="A47" s="49"/>
      <c r="B47" s="50"/>
      <c r="C47" s="51"/>
      <c r="D47" s="51"/>
      <c r="E47" s="50"/>
      <c r="F47" s="51"/>
      <c r="G47" s="88"/>
      <c r="H47" s="50"/>
      <c r="I47" s="51"/>
      <c r="J47" s="88"/>
    </row>
    <row r="48" spans="1:19" ht="18.75">
      <c r="A48" s="54" t="s">
        <v>24</v>
      </c>
      <c r="B48" s="47">
        <v>1040</v>
      </c>
      <c r="C48" s="55">
        <v>10329.384615384615</v>
      </c>
      <c r="D48" s="55">
        <v>10742.56</v>
      </c>
      <c r="E48" s="47"/>
      <c r="F48" s="55"/>
      <c r="G48" s="86"/>
      <c r="H48" s="47"/>
      <c r="I48" s="55"/>
      <c r="J48" s="86"/>
    </row>
    <row r="49" spans="1:10" ht="18.75">
      <c r="A49" s="49"/>
      <c r="B49" s="58"/>
      <c r="C49" s="61"/>
      <c r="D49" s="59"/>
      <c r="E49" s="60"/>
      <c r="F49" s="61"/>
      <c r="G49" s="90"/>
      <c r="H49" s="60"/>
      <c r="I49" s="61"/>
      <c r="J49" s="90"/>
    </row>
    <row r="50" spans="1:10" ht="18.75">
      <c r="A50" s="14" t="s">
        <v>25</v>
      </c>
      <c r="B50" s="64">
        <f t="shared" ref="B50:D50" si="6">((B46-B48)/B48)*100</f>
        <v>-1.3461538461538463</v>
      </c>
      <c r="C50" s="65">
        <f t="shared" si="6"/>
        <v>-3.1888116054273832</v>
      </c>
      <c r="D50" s="66">
        <f t="shared" si="6"/>
        <v>-4.4920391415081644</v>
      </c>
      <c r="E50" s="65"/>
      <c r="F50" s="65"/>
      <c r="G50" s="66"/>
      <c r="H50" s="65"/>
      <c r="I50" s="65"/>
      <c r="J50" s="66"/>
    </row>
    <row r="51" spans="1:10" ht="16.5" thickBot="1">
      <c r="A51" s="103"/>
      <c r="B51" s="104"/>
      <c r="C51" s="98"/>
      <c r="D51" s="105"/>
      <c r="E51" s="97"/>
      <c r="F51" s="98"/>
      <c r="G51" s="99"/>
      <c r="H51" s="97"/>
      <c r="I51" s="98"/>
      <c r="J51" s="99"/>
    </row>
    <row r="52" spans="1:10" ht="13.5" thickTop="1"/>
    <row r="53" spans="1:10" ht="15.75">
      <c r="A53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CEREALES</vt:lpstr>
      <vt:lpstr>CULTURES INDUSTRIELLES</vt:lpstr>
      <vt:lpstr>REGION DE KOLDA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2021-04-12T10:21:42Z</dcterms:created>
  <dcterms:modified xsi:type="dcterms:W3CDTF">2022-03-10T10:00:10Z</dcterms:modified>
</cp:coreProperties>
</file>