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 Thomas\Documents\resultatprevisonels 2022\"/>
    </mc:Choice>
  </mc:AlternateContent>
  <xr:revisionPtr revIDLastSave="0" documentId="13_ncr:1_{423AA093-DBB4-4E0A-BFF0-EC48498BC16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ULTURES CEREALIERES" sheetId="7" r:id="rId1"/>
    <sheet name="CULTURES INDUST ET AUTRES" sheetId="6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3" i="6" l="1"/>
  <c r="J33" i="6"/>
  <c r="M33" i="6"/>
  <c r="P33" i="6"/>
  <c r="S33" i="6"/>
  <c r="D34" i="6"/>
  <c r="J34" i="6"/>
  <c r="M34" i="6"/>
  <c r="P34" i="6"/>
  <c r="S34" i="6"/>
  <c r="D35" i="6"/>
  <c r="J35" i="6"/>
  <c r="M35" i="6"/>
  <c r="P35" i="6"/>
  <c r="S35" i="6"/>
  <c r="D36" i="6"/>
  <c r="D37" i="6"/>
  <c r="D38" i="6"/>
  <c r="D39" i="6"/>
  <c r="D40" i="6"/>
  <c r="D41" i="6"/>
  <c r="D42" i="6"/>
  <c r="D43" i="6"/>
  <c r="D44" i="6"/>
  <c r="B45" i="6"/>
  <c r="B49" i="6" s="1"/>
  <c r="B47" i="6" l="1"/>
  <c r="U6" i="7" l="1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6" i="7"/>
  <c r="U39" i="7"/>
  <c r="U40" i="7"/>
  <c r="U41" i="7"/>
  <c r="U42" i="7"/>
  <c r="U43" i="7"/>
  <c r="U44" i="7"/>
  <c r="U3" i="7"/>
  <c r="U4" i="7"/>
  <c r="M40" i="7"/>
  <c r="M39" i="7"/>
  <c r="M38" i="7"/>
  <c r="M37" i="7"/>
  <c r="M32" i="7"/>
  <c r="M31" i="7"/>
  <c r="M30" i="7"/>
  <c r="M26" i="7"/>
  <c r="M23" i="7"/>
  <c r="M22" i="7"/>
  <c r="M21" i="7"/>
  <c r="M20" i="7"/>
  <c r="M18" i="7"/>
  <c r="M16" i="7"/>
  <c r="M14" i="7"/>
  <c r="M13" i="7"/>
  <c r="M11" i="7"/>
  <c r="M10" i="7"/>
  <c r="M7" i="7"/>
  <c r="M5" i="7"/>
  <c r="U5" i="7"/>
  <c r="H40" i="7"/>
  <c r="H39" i="7"/>
  <c r="H30" i="7"/>
  <c r="J30" i="7" s="1"/>
  <c r="D5" i="7" l="1"/>
  <c r="G5" i="7"/>
  <c r="J5" i="7"/>
  <c r="Q5" i="7"/>
  <c r="D7" i="7"/>
  <c r="G7" i="7"/>
  <c r="J7" i="7"/>
  <c r="Q7" i="7"/>
  <c r="D13" i="7"/>
  <c r="G13" i="7"/>
  <c r="J13" i="7"/>
  <c r="Q13" i="7"/>
  <c r="D14" i="7"/>
  <c r="G14" i="7"/>
  <c r="J14" i="7"/>
  <c r="P14" i="7"/>
  <c r="Q14" i="7"/>
  <c r="G20" i="7"/>
  <c r="J20" i="7"/>
  <c r="P20" i="7"/>
  <c r="Q20" i="7"/>
  <c r="D21" i="7"/>
  <c r="G21" i="7"/>
  <c r="J21" i="7"/>
  <c r="P21" i="7"/>
  <c r="Q21" i="7"/>
  <c r="D23" i="7"/>
  <c r="G23" i="7"/>
  <c r="J23" i="7"/>
  <c r="Q23" i="7"/>
  <c r="D30" i="7"/>
  <c r="G30" i="7"/>
  <c r="Q30" i="7"/>
  <c r="D32" i="7"/>
  <c r="G32" i="7"/>
  <c r="J32" i="7"/>
  <c r="Q32" i="7"/>
  <c r="G37" i="7"/>
  <c r="J37" i="7"/>
  <c r="P37" i="7"/>
  <c r="Q37" i="7"/>
  <c r="G38" i="7"/>
  <c r="J38" i="7"/>
  <c r="P38" i="7"/>
  <c r="Q38" i="7"/>
  <c r="D39" i="7"/>
  <c r="G39" i="7"/>
  <c r="J39" i="7"/>
  <c r="P39" i="7"/>
  <c r="Q39" i="7"/>
  <c r="D40" i="7"/>
  <c r="G40" i="7"/>
  <c r="J40" i="7"/>
  <c r="P40" i="7"/>
  <c r="Q40" i="7"/>
  <c r="D43" i="7"/>
  <c r="G43" i="7"/>
  <c r="J43" i="7"/>
  <c r="P43" i="7"/>
  <c r="Q43" i="7"/>
  <c r="D44" i="7"/>
  <c r="G44" i="7"/>
  <c r="J44" i="7"/>
  <c r="Q44" i="7"/>
  <c r="J48" i="7"/>
  <c r="J47" i="7"/>
  <c r="R54" i="7"/>
  <c r="Q54" i="7"/>
  <c r="N51" i="7"/>
  <c r="N55" i="7" s="1"/>
  <c r="H51" i="7"/>
  <c r="H53" i="7" s="1"/>
  <c r="E51" i="7"/>
  <c r="E53" i="7" s="1"/>
  <c r="B51" i="7"/>
  <c r="B55" i="7" s="1"/>
  <c r="Q42" i="7"/>
  <c r="M42" i="7"/>
  <c r="J42" i="7"/>
  <c r="G42" i="7"/>
  <c r="D42" i="7"/>
  <c r="Q41" i="7"/>
  <c r="J41" i="7"/>
  <c r="G41" i="7"/>
  <c r="D41" i="7"/>
  <c r="Q49" i="7"/>
  <c r="G49" i="7"/>
  <c r="R49" i="7" s="1"/>
  <c r="Q36" i="7"/>
  <c r="M36" i="7"/>
  <c r="J36" i="7"/>
  <c r="G36" i="7"/>
  <c r="D36" i="7"/>
  <c r="Q35" i="7"/>
  <c r="M35" i="7"/>
  <c r="J35" i="7"/>
  <c r="G35" i="7"/>
  <c r="Q34" i="7"/>
  <c r="M34" i="7"/>
  <c r="J34" i="7"/>
  <c r="G34" i="7"/>
  <c r="D34" i="7"/>
  <c r="Q48" i="7"/>
  <c r="G48" i="7"/>
  <c r="Q33" i="7"/>
  <c r="M33" i="7"/>
  <c r="J33" i="7"/>
  <c r="G33" i="7"/>
  <c r="D33" i="7"/>
  <c r="Q31" i="7"/>
  <c r="J31" i="7"/>
  <c r="G31" i="7"/>
  <c r="D31" i="7"/>
  <c r="Q29" i="7"/>
  <c r="M29" i="7"/>
  <c r="J29" i="7"/>
  <c r="G29" i="7"/>
  <c r="D29" i="7"/>
  <c r="Q28" i="7"/>
  <c r="M28" i="7"/>
  <c r="J28" i="7"/>
  <c r="G28" i="7"/>
  <c r="D28" i="7"/>
  <c r="Q47" i="7"/>
  <c r="G47" i="7"/>
  <c r="Q27" i="7"/>
  <c r="M27" i="7"/>
  <c r="J27" i="7"/>
  <c r="G27" i="7"/>
  <c r="D27" i="7"/>
  <c r="Q26" i="7"/>
  <c r="J26" i="7"/>
  <c r="G26" i="7"/>
  <c r="D26" i="7"/>
  <c r="Q25" i="7"/>
  <c r="M25" i="7"/>
  <c r="G25" i="7"/>
  <c r="D25" i="7"/>
  <c r="Q24" i="7"/>
  <c r="M24" i="7"/>
  <c r="J24" i="7"/>
  <c r="G24" i="7"/>
  <c r="D24" i="7"/>
  <c r="Q22" i="7"/>
  <c r="J22" i="7"/>
  <c r="G22" i="7"/>
  <c r="D22" i="7"/>
  <c r="Q50" i="7"/>
  <c r="M50" i="7"/>
  <c r="G50" i="7"/>
  <c r="Q19" i="7"/>
  <c r="G19" i="7"/>
  <c r="D19" i="7"/>
  <c r="Q18" i="7"/>
  <c r="J18" i="7"/>
  <c r="G18" i="7"/>
  <c r="D18" i="7"/>
  <c r="Q17" i="7"/>
  <c r="M17" i="7"/>
  <c r="J17" i="7"/>
  <c r="G17" i="7"/>
  <c r="D17" i="7"/>
  <c r="Q16" i="7"/>
  <c r="J16" i="7"/>
  <c r="G16" i="7"/>
  <c r="D16" i="7"/>
  <c r="Q15" i="7"/>
  <c r="M15" i="7"/>
  <c r="J15" i="7"/>
  <c r="G15" i="7"/>
  <c r="D15" i="7"/>
  <c r="Q12" i="7"/>
  <c r="M12" i="7"/>
  <c r="J12" i="7"/>
  <c r="G12" i="7"/>
  <c r="D12" i="7"/>
  <c r="Q11" i="7"/>
  <c r="J11" i="7"/>
  <c r="G11" i="7"/>
  <c r="D11" i="7"/>
  <c r="Q10" i="7"/>
  <c r="J10" i="7"/>
  <c r="G10" i="7"/>
  <c r="D10" i="7"/>
  <c r="Q9" i="7"/>
  <c r="M9" i="7"/>
  <c r="J9" i="7"/>
  <c r="G9" i="7"/>
  <c r="D9" i="7"/>
  <c r="Q46" i="7"/>
  <c r="G46" i="7"/>
  <c r="R46" i="7" s="1"/>
  <c r="Q8" i="7"/>
  <c r="M8" i="7"/>
  <c r="J8" i="7"/>
  <c r="G8" i="7"/>
  <c r="D8" i="7"/>
  <c r="Q6" i="7"/>
  <c r="M6" i="7"/>
  <c r="J6" i="7"/>
  <c r="G6" i="7"/>
  <c r="D6" i="7"/>
  <c r="Q4" i="7"/>
  <c r="M4" i="7"/>
  <c r="J4" i="7"/>
  <c r="G4" i="7"/>
  <c r="D4" i="7"/>
  <c r="Q45" i="7"/>
  <c r="G45" i="7"/>
  <c r="R45" i="7" s="1"/>
  <c r="Q3" i="7"/>
  <c r="M3" i="7"/>
  <c r="J3" i="7"/>
  <c r="G3" i="7"/>
  <c r="D3" i="7"/>
  <c r="R5" i="7" l="1"/>
  <c r="R7" i="7"/>
  <c r="R13" i="7"/>
  <c r="R14" i="7"/>
  <c r="R20" i="7"/>
  <c r="R21" i="7"/>
  <c r="R23" i="7"/>
  <c r="R30" i="7"/>
  <c r="R32" i="7"/>
  <c r="R37" i="7"/>
  <c r="R38" i="7"/>
  <c r="R39" i="7"/>
  <c r="R40" i="7"/>
  <c r="R44" i="7"/>
  <c r="R43" i="7"/>
  <c r="R47" i="7"/>
  <c r="K51" i="7"/>
  <c r="K53" i="7" s="1"/>
  <c r="R48" i="7"/>
  <c r="R50" i="7"/>
  <c r="R22" i="7"/>
  <c r="R27" i="7"/>
  <c r="R29" i="7"/>
  <c r="R11" i="7"/>
  <c r="R15" i="7"/>
  <c r="R19" i="7"/>
  <c r="B53" i="7"/>
  <c r="J51" i="7"/>
  <c r="J55" i="7" s="1"/>
  <c r="G51" i="7"/>
  <c r="F51" i="7" s="1"/>
  <c r="F55" i="7" s="1"/>
  <c r="P51" i="7"/>
  <c r="P53" i="7" s="1"/>
  <c r="R33" i="7"/>
  <c r="R34" i="7"/>
  <c r="N53" i="7"/>
  <c r="R10" i="7"/>
  <c r="R36" i="7"/>
  <c r="H55" i="7"/>
  <c r="D51" i="7"/>
  <c r="D55" i="7" s="1"/>
  <c r="R9" i="7"/>
  <c r="R17" i="7"/>
  <c r="R24" i="7"/>
  <c r="R25" i="7"/>
  <c r="R31" i="7"/>
  <c r="R35" i="7"/>
  <c r="R41" i="7"/>
  <c r="E55" i="7"/>
  <c r="R4" i="7"/>
  <c r="R8" i="7"/>
  <c r="R18" i="7"/>
  <c r="R26" i="7"/>
  <c r="R28" i="7"/>
  <c r="R6" i="7"/>
  <c r="R12" i="7"/>
  <c r="R16" i="7"/>
  <c r="R42" i="7"/>
  <c r="R3" i="7"/>
  <c r="Q51" i="7" l="1"/>
  <c r="Q53" i="7" s="1"/>
  <c r="K55" i="7"/>
  <c r="F53" i="7"/>
  <c r="G53" i="7"/>
  <c r="G55" i="7"/>
  <c r="P55" i="7"/>
  <c r="I51" i="7"/>
  <c r="I53" i="7" s="1"/>
  <c r="J53" i="7"/>
  <c r="O51" i="7"/>
  <c r="O53" i="7" s="1"/>
  <c r="C51" i="7"/>
  <c r="C53" i="7" s="1"/>
  <c r="D53" i="7"/>
  <c r="G49" i="6"/>
  <c r="F49" i="6"/>
  <c r="E49" i="6"/>
  <c r="N47" i="6"/>
  <c r="G47" i="6"/>
  <c r="F47" i="6"/>
  <c r="E47" i="6"/>
  <c r="Q45" i="6"/>
  <c r="Q49" i="6" s="1"/>
  <c r="N45" i="6"/>
  <c r="N49" i="6" s="1"/>
  <c r="K45" i="6"/>
  <c r="K49" i="6" s="1"/>
  <c r="H45" i="6"/>
  <c r="H47" i="6" s="1"/>
  <c r="S44" i="6"/>
  <c r="P44" i="6"/>
  <c r="M44" i="6"/>
  <c r="J44" i="6"/>
  <c r="S43" i="6"/>
  <c r="P43" i="6"/>
  <c r="M43" i="6"/>
  <c r="J43" i="6"/>
  <c r="S42" i="6"/>
  <c r="P42" i="6"/>
  <c r="M42" i="6"/>
  <c r="J42" i="6"/>
  <c r="S41" i="6"/>
  <c r="P41" i="6"/>
  <c r="M41" i="6"/>
  <c r="J41" i="6"/>
  <c r="S40" i="6"/>
  <c r="P40" i="6"/>
  <c r="M40" i="6"/>
  <c r="J40" i="6"/>
  <c r="S39" i="6"/>
  <c r="P39" i="6"/>
  <c r="M39" i="6"/>
  <c r="J39" i="6"/>
  <c r="S38" i="6"/>
  <c r="P38" i="6"/>
  <c r="M38" i="6"/>
  <c r="J38" i="6"/>
  <c r="S37" i="6"/>
  <c r="P37" i="6"/>
  <c r="M37" i="6"/>
  <c r="J37" i="6"/>
  <c r="S36" i="6"/>
  <c r="P36" i="6"/>
  <c r="M36" i="6"/>
  <c r="J36" i="6"/>
  <c r="S32" i="6"/>
  <c r="P32" i="6"/>
  <c r="M32" i="6"/>
  <c r="J32" i="6"/>
  <c r="D32" i="6"/>
  <c r="S31" i="6"/>
  <c r="P31" i="6"/>
  <c r="M31" i="6"/>
  <c r="J31" i="6"/>
  <c r="D31" i="6"/>
  <c r="S30" i="6"/>
  <c r="P30" i="6"/>
  <c r="M30" i="6"/>
  <c r="J30" i="6"/>
  <c r="D30" i="6"/>
  <c r="S29" i="6"/>
  <c r="P29" i="6"/>
  <c r="M29" i="6"/>
  <c r="J29" i="6"/>
  <c r="D29" i="6"/>
  <c r="S28" i="6"/>
  <c r="P28" i="6"/>
  <c r="M28" i="6"/>
  <c r="J28" i="6"/>
  <c r="D28" i="6"/>
  <c r="S27" i="6"/>
  <c r="P27" i="6"/>
  <c r="M27" i="6"/>
  <c r="J27" i="6"/>
  <c r="D27" i="6"/>
  <c r="S26" i="6"/>
  <c r="P26" i="6"/>
  <c r="M26" i="6"/>
  <c r="J26" i="6"/>
  <c r="D26" i="6"/>
  <c r="S25" i="6"/>
  <c r="P25" i="6"/>
  <c r="M25" i="6"/>
  <c r="J25" i="6"/>
  <c r="D25" i="6"/>
  <c r="S24" i="6"/>
  <c r="P24" i="6"/>
  <c r="M24" i="6"/>
  <c r="J24" i="6"/>
  <c r="D24" i="6"/>
  <c r="S23" i="6"/>
  <c r="P23" i="6"/>
  <c r="M23" i="6"/>
  <c r="J23" i="6"/>
  <c r="D23" i="6"/>
  <c r="S22" i="6"/>
  <c r="P22" i="6"/>
  <c r="M22" i="6"/>
  <c r="J22" i="6"/>
  <c r="D22" i="6"/>
  <c r="S21" i="6"/>
  <c r="P21" i="6"/>
  <c r="M21" i="6"/>
  <c r="J21" i="6"/>
  <c r="D21" i="6"/>
  <c r="S20" i="6"/>
  <c r="P20" i="6"/>
  <c r="M20" i="6"/>
  <c r="J20" i="6"/>
  <c r="D20" i="6"/>
  <c r="S19" i="6"/>
  <c r="P19" i="6"/>
  <c r="M19" i="6"/>
  <c r="J19" i="6"/>
  <c r="D19" i="6"/>
  <c r="S18" i="6"/>
  <c r="P18" i="6"/>
  <c r="M18" i="6"/>
  <c r="J18" i="6"/>
  <c r="D18" i="6"/>
  <c r="S17" i="6"/>
  <c r="P17" i="6"/>
  <c r="M17" i="6"/>
  <c r="J17" i="6"/>
  <c r="D17" i="6"/>
  <c r="S16" i="6"/>
  <c r="P16" i="6"/>
  <c r="M16" i="6"/>
  <c r="J16" i="6"/>
  <c r="D16" i="6"/>
  <c r="S15" i="6"/>
  <c r="P15" i="6"/>
  <c r="M15" i="6"/>
  <c r="J15" i="6"/>
  <c r="D15" i="6"/>
  <c r="S14" i="6"/>
  <c r="P14" i="6"/>
  <c r="M14" i="6"/>
  <c r="J14" i="6"/>
  <c r="D14" i="6"/>
  <c r="S13" i="6"/>
  <c r="P13" i="6"/>
  <c r="M13" i="6"/>
  <c r="J13" i="6"/>
  <c r="D13" i="6"/>
  <c r="S12" i="6"/>
  <c r="P12" i="6"/>
  <c r="M12" i="6"/>
  <c r="J12" i="6"/>
  <c r="D12" i="6"/>
  <c r="S11" i="6"/>
  <c r="P11" i="6"/>
  <c r="M11" i="6"/>
  <c r="J11" i="6"/>
  <c r="D11" i="6"/>
  <c r="S10" i="6"/>
  <c r="P10" i="6"/>
  <c r="M10" i="6"/>
  <c r="J10" i="6"/>
  <c r="D10" i="6"/>
  <c r="S9" i="6"/>
  <c r="P9" i="6"/>
  <c r="M9" i="6"/>
  <c r="J9" i="6"/>
  <c r="D9" i="6"/>
  <c r="S8" i="6"/>
  <c r="P8" i="6"/>
  <c r="M8" i="6"/>
  <c r="J8" i="6"/>
  <c r="D8" i="6"/>
  <c r="S7" i="6"/>
  <c r="P7" i="6"/>
  <c r="M7" i="6"/>
  <c r="J7" i="6"/>
  <c r="D7" i="6"/>
  <c r="S6" i="6"/>
  <c r="P6" i="6"/>
  <c r="M6" i="6"/>
  <c r="J6" i="6"/>
  <c r="D6" i="6"/>
  <c r="S5" i="6"/>
  <c r="P5" i="6"/>
  <c r="M5" i="6"/>
  <c r="J5" i="6"/>
  <c r="D5" i="6"/>
  <c r="S4" i="6"/>
  <c r="P4" i="6"/>
  <c r="P45" i="6" s="1"/>
  <c r="P49" i="6" s="1"/>
  <c r="M4" i="6"/>
  <c r="J4" i="6"/>
  <c r="D4" i="6"/>
  <c r="S3" i="6"/>
  <c r="P3" i="6"/>
  <c r="J3" i="6"/>
  <c r="D3" i="6"/>
  <c r="J45" i="6" l="1"/>
  <c r="S45" i="6"/>
  <c r="S49" i="6" s="1"/>
  <c r="D45" i="6"/>
  <c r="D47" i="6"/>
  <c r="C45" i="6"/>
  <c r="D49" i="6"/>
  <c r="M45" i="6"/>
  <c r="L45" i="6" s="1"/>
  <c r="Q55" i="7"/>
  <c r="I55" i="7"/>
  <c r="O55" i="7"/>
  <c r="C55" i="7"/>
  <c r="O45" i="6"/>
  <c r="P47" i="6"/>
  <c r="R45" i="6"/>
  <c r="S47" i="6"/>
  <c r="J49" i="6"/>
  <c r="J47" i="6"/>
  <c r="I45" i="6"/>
  <c r="H49" i="6"/>
  <c r="K47" i="6"/>
  <c r="Q47" i="6"/>
  <c r="C49" i="6" l="1"/>
  <c r="C47" i="6"/>
  <c r="O47" i="6"/>
  <c r="O49" i="6"/>
  <c r="M49" i="6"/>
  <c r="M47" i="6"/>
  <c r="R47" i="6"/>
  <c r="R49" i="6"/>
  <c r="L47" i="6"/>
  <c r="L49" i="6"/>
  <c r="I47" i="6"/>
  <c r="I49" i="6"/>
  <c r="M51" i="7" l="1"/>
  <c r="M55" i="7" s="1"/>
  <c r="M53" i="7" l="1"/>
  <c r="R51" i="7"/>
  <c r="L51" i="7"/>
  <c r="L55" i="7" l="1"/>
  <c r="L53" i="7"/>
  <c r="R55" i="7"/>
  <c r="R53" i="7"/>
</calcChain>
</file>

<file path=xl/sharedStrings.xml><?xml version="1.0" encoding="utf-8"?>
<sst xmlns="http://schemas.openxmlformats.org/spreadsheetml/2006/main" count="157" uniqueCount="74">
  <si>
    <t>Departements</t>
  </si>
  <si>
    <t>RUFISQUE</t>
  </si>
  <si>
    <t>BIGNONA</t>
  </si>
  <si>
    <t>OUSSOUYE</t>
  </si>
  <si>
    <t>ZIGUINCHOR</t>
  </si>
  <si>
    <t>BAMBEY</t>
  </si>
  <si>
    <t>DIOURBEL</t>
  </si>
  <si>
    <t>MBACKE</t>
  </si>
  <si>
    <t>DAGANA</t>
  </si>
  <si>
    <t>PODOR</t>
  </si>
  <si>
    <t>SAINT LOUIS</t>
  </si>
  <si>
    <t>BAKEL</t>
  </si>
  <si>
    <t>GOUDIRY</t>
  </si>
  <si>
    <t>TAMBACOUNDA</t>
  </si>
  <si>
    <t>GUINGUINEO</t>
  </si>
  <si>
    <t>KAOLACK</t>
  </si>
  <si>
    <t>NIORO DU RIP</t>
  </si>
  <si>
    <t>MBOUR</t>
  </si>
  <si>
    <t>THIES</t>
  </si>
  <si>
    <t>TIVAOUANE</t>
  </si>
  <si>
    <t>KEBEMER</t>
  </si>
  <si>
    <t>LINGUERE</t>
  </si>
  <si>
    <t>LOUGA</t>
  </si>
  <si>
    <t>FATICK</t>
  </si>
  <si>
    <t>FOUNDIOUGNE</t>
  </si>
  <si>
    <t>GOSSAS</t>
  </si>
  <si>
    <t>KOLDA</t>
  </si>
  <si>
    <t>MEDINA YORO</t>
  </si>
  <si>
    <t>VELINGARA</t>
  </si>
  <si>
    <t>KANEL</t>
  </si>
  <si>
    <t>MATAM</t>
  </si>
  <si>
    <t>RANEROU</t>
  </si>
  <si>
    <t>BIRKILANE</t>
  </si>
  <si>
    <t>KAFFRINE</t>
  </si>
  <si>
    <t>KOUNGHEUL</t>
  </si>
  <si>
    <t>MALEM HODDAR</t>
  </si>
  <si>
    <t>KEDOUGOU</t>
  </si>
  <si>
    <t>SALEMATA</t>
  </si>
  <si>
    <t>SARAYA</t>
  </si>
  <si>
    <t>BOUNKILING</t>
  </si>
  <si>
    <t>GOUDOMP</t>
  </si>
  <si>
    <t>SEDHIOU</t>
  </si>
  <si>
    <t>RESULTATS DEFINITIFS 2021 (2)</t>
  </si>
  <si>
    <t>MIL</t>
  </si>
  <si>
    <t>SORGHO</t>
  </si>
  <si>
    <t>MAIS</t>
  </si>
  <si>
    <t>RIZ</t>
  </si>
  <si>
    <t>FONIO</t>
  </si>
  <si>
    <t>DAGANA SAED</t>
  </si>
  <si>
    <t>PODOR SAED</t>
  </si>
  <si>
    <t>SAINT LOUIS SAED</t>
  </si>
  <si>
    <t>BAKEL SAED</t>
  </si>
  <si>
    <t>MATAM SAED</t>
  </si>
  <si>
    <t>-</t>
  </si>
  <si>
    <t xml:space="preserve">- </t>
  </si>
  <si>
    <t>ECART(1)&amp;(2) EN %</t>
  </si>
  <si>
    <t>MOYENNE 5 DERNIERES ANNEES (3)</t>
  </si>
  <si>
    <t>ECART(1)&amp;(3) EN %</t>
  </si>
  <si>
    <t>Sup(ha)</t>
  </si>
  <si>
    <t xml:space="preserve">Product(T) </t>
  </si>
  <si>
    <t>Rdt(kg/ha)</t>
  </si>
  <si>
    <t>Source : DAPSA/MAERSA</t>
  </si>
  <si>
    <t>TOTAL CEREALES</t>
  </si>
  <si>
    <t>TOTAL PREVISION SENEGAL (1)</t>
  </si>
  <si>
    <t>Arachide</t>
  </si>
  <si>
    <t>COTON</t>
  </si>
  <si>
    <t>NIEBE</t>
  </si>
  <si>
    <t>MANIOC</t>
  </si>
  <si>
    <t>PASTEQUE</t>
  </si>
  <si>
    <t>SESAME</t>
  </si>
  <si>
    <t>TOTAL  PREVISION SENEGAL (1)</t>
  </si>
  <si>
    <t>KOUMPENTOUM</t>
  </si>
  <si>
    <t>KOLDA AMENAGE SODAGRI</t>
  </si>
  <si>
    <t xml:space="preserve">MEDINA YORO FOULA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</si>
</sst>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\ _€_-;\-* #,##0\ _€_-;_-* &quot;-&quot;??\ _€_-;_-@_-"/>
    <numFmt numFmtId="165" formatCode="#,##0_ ;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8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indexed="64"/>
      </bottom>
      <diagonal/>
    </border>
    <border>
      <left style="thick">
        <color auto="1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indexed="64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3" fillId="0" borderId="2" xfId="0" applyFont="1" applyBorder="1"/>
    <xf numFmtId="0" fontId="5" fillId="0" borderId="0" xfId="0" applyFont="1"/>
    <xf numFmtId="0" fontId="3" fillId="0" borderId="8" xfId="0" applyFont="1" applyBorder="1"/>
    <xf numFmtId="165" fontId="6" fillId="0" borderId="10" xfId="1" applyNumberFormat="1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/>
    </xf>
    <xf numFmtId="164" fontId="7" fillId="0" borderId="7" xfId="1" applyNumberFormat="1" applyFont="1" applyFill="1" applyBorder="1"/>
    <xf numFmtId="164" fontId="2" fillId="0" borderId="7" xfId="1" applyNumberFormat="1" applyFont="1" applyFill="1" applyBorder="1"/>
    <xf numFmtId="165" fontId="6" fillId="0" borderId="11" xfId="1" applyNumberFormat="1" applyFont="1" applyFill="1" applyBorder="1"/>
    <xf numFmtId="164" fontId="2" fillId="0" borderId="6" xfId="1" applyNumberFormat="1" applyFont="1" applyFill="1" applyBorder="1"/>
    <xf numFmtId="0" fontId="3" fillId="0" borderId="6" xfId="0" applyFont="1" applyBorder="1"/>
    <xf numFmtId="0" fontId="4" fillId="0" borderId="1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 wrapText="1"/>
    </xf>
    <xf numFmtId="0" fontId="2" fillId="0" borderId="7" xfId="0" applyFont="1" applyBorder="1"/>
    <xf numFmtId="164" fontId="2" fillId="0" borderId="0" xfId="1" applyNumberFormat="1" applyFont="1" applyFill="1" applyBorder="1"/>
    <xf numFmtId="164" fontId="2" fillId="0" borderId="15" xfId="1" applyNumberFormat="1" applyFont="1" applyFill="1" applyBorder="1"/>
    <xf numFmtId="164" fontId="2" fillId="0" borderId="16" xfId="1" applyNumberFormat="1" applyFont="1" applyFill="1" applyBorder="1"/>
    <xf numFmtId="164" fontId="2" fillId="0" borderId="17" xfId="1" applyNumberFormat="1" applyFont="1" applyFill="1" applyBorder="1"/>
    <xf numFmtId="164" fontId="7" fillId="0" borderId="17" xfId="1" applyNumberFormat="1" applyFont="1" applyFill="1" applyBorder="1"/>
    <xf numFmtId="164" fontId="2" fillId="0" borderId="18" xfId="1" applyNumberFormat="1" applyFont="1" applyFill="1" applyBorder="1"/>
    <xf numFmtId="164" fontId="2" fillId="0" borderId="19" xfId="1" applyNumberFormat="1" applyFont="1" applyFill="1" applyBorder="1"/>
    <xf numFmtId="164" fontId="2" fillId="0" borderId="20" xfId="1" applyNumberFormat="1" applyFont="1" applyFill="1" applyBorder="1"/>
    <xf numFmtId="1" fontId="2" fillId="0" borderId="15" xfId="1" applyNumberFormat="1" applyFont="1" applyFill="1" applyBorder="1"/>
    <xf numFmtId="164" fontId="7" fillId="0" borderId="21" xfId="1" applyNumberFormat="1" applyFont="1" applyFill="1" applyBorder="1"/>
    <xf numFmtId="164" fontId="2" fillId="0" borderId="21" xfId="1" applyNumberFormat="1" applyFont="1" applyFill="1" applyBorder="1"/>
    <xf numFmtId="164" fontId="2" fillId="0" borderId="22" xfId="1" applyNumberFormat="1" applyFont="1" applyFill="1" applyBorder="1"/>
    <xf numFmtId="165" fontId="6" fillId="0" borderId="10" xfId="1" applyNumberFormat="1" applyFont="1" applyFill="1" applyBorder="1" applyAlignment="1">
      <alignment horizontal="center"/>
    </xf>
    <xf numFmtId="164" fontId="3" fillId="0" borderId="2" xfId="1" applyNumberFormat="1" applyFont="1" applyFill="1" applyBorder="1"/>
    <xf numFmtId="164" fontId="3" fillId="0" borderId="23" xfId="1" applyNumberFormat="1" applyFont="1" applyFill="1" applyBorder="1"/>
    <xf numFmtId="164" fontId="3" fillId="0" borderId="1" xfId="1" applyNumberFormat="1" applyFont="1" applyFill="1" applyBorder="1"/>
    <xf numFmtId="165" fontId="6" fillId="0" borderId="24" xfId="1" applyNumberFormat="1" applyFont="1" applyFill="1" applyBorder="1" applyAlignment="1">
      <alignment horizontal="center"/>
    </xf>
    <xf numFmtId="165" fontId="6" fillId="0" borderId="25" xfId="1" applyNumberFormat="1" applyFont="1" applyBorder="1" applyAlignment="1">
      <alignment horizontal="center"/>
    </xf>
    <xf numFmtId="165" fontId="6" fillId="0" borderId="25" xfId="1" applyNumberFormat="1" applyFont="1" applyFill="1" applyBorder="1" applyAlignment="1">
      <alignment horizontal="center"/>
    </xf>
    <xf numFmtId="165" fontId="6" fillId="0" borderId="11" xfId="1" applyNumberFormat="1" applyFont="1" applyFill="1" applyBorder="1" applyAlignment="1">
      <alignment horizontal="center"/>
    </xf>
    <xf numFmtId="165" fontId="6" fillId="0" borderId="11" xfId="1" applyNumberFormat="1" applyFont="1" applyBorder="1" applyAlignment="1">
      <alignment horizontal="center"/>
    </xf>
    <xf numFmtId="165" fontId="6" fillId="0" borderId="10" xfId="1" applyNumberFormat="1" applyFont="1" applyBorder="1" applyAlignment="1">
      <alignment horizontal="right"/>
    </xf>
    <xf numFmtId="0" fontId="0" fillId="0" borderId="8" xfId="0" applyBorder="1"/>
    <xf numFmtId="1" fontId="0" fillId="0" borderId="0" xfId="0" applyNumberFormat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"/>
  <sheetViews>
    <sheetView tabSelected="1" zoomScale="115" zoomScaleNormal="115" workbookViewId="0">
      <pane xSplit="1" ySplit="2" topLeftCell="E3" activePane="bottomRight" state="frozen"/>
      <selection pane="topRight" activeCell="B1" sqref="B1"/>
      <selection pane="bottomLeft" activeCell="A3" sqref="A3"/>
      <selection pane="bottomRight" activeCell="F9" sqref="F9"/>
    </sheetView>
  </sheetViews>
  <sheetFormatPr baseColWidth="10" defaultRowHeight="14.5" x14ac:dyDescent="0.35"/>
  <cols>
    <col min="1" max="1" width="35.7265625" customWidth="1"/>
    <col min="2" max="2" width="13.453125" bestFit="1" customWidth="1"/>
    <col min="3" max="3" width="13" customWidth="1"/>
    <col min="4" max="4" width="15.1796875" bestFit="1" customWidth="1"/>
    <col min="13" max="13" width="13.26953125" bestFit="1" customWidth="1"/>
    <col min="17" max="17" width="14.1796875" customWidth="1"/>
    <col min="18" max="18" width="13.26953125" customWidth="1"/>
  </cols>
  <sheetData>
    <row r="1" spans="1:21" ht="16.5" thickTop="1" thickBot="1" x14ac:dyDescent="0.4">
      <c r="A1" s="1"/>
      <c r="B1" s="42" t="s">
        <v>43</v>
      </c>
      <c r="C1" s="43"/>
      <c r="D1" s="44"/>
      <c r="E1" s="45" t="s">
        <v>44</v>
      </c>
      <c r="F1" s="45"/>
      <c r="G1" s="45"/>
      <c r="H1" s="40" t="s">
        <v>45</v>
      </c>
      <c r="I1" s="41"/>
      <c r="J1" s="46"/>
      <c r="K1" s="40" t="s">
        <v>46</v>
      </c>
      <c r="L1" s="41"/>
      <c r="M1" s="46"/>
      <c r="N1" s="40" t="s">
        <v>47</v>
      </c>
      <c r="O1" s="41"/>
      <c r="P1" s="46"/>
      <c r="Q1" s="40" t="s">
        <v>62</v>
      </c>
      <c r="R1" s="41"/>
    </row>
    <row r="2" spans="1:21" ht="16.5" thickTop="1" thickBot="1" x14ac:dyDescent="0.4">
      <c r="A2" s="2" t="s">
        <v>0</v>
      </c>
      <c r="B2" s="7" t="s">
        <v>58</v>
      </c>
      <c r="C2" s="7" t="s">
        <v>60</v>
      </c>
      <c r="D2" s="6" t="s">
        <v>59</v>
      </c>
      <c r="E2" s="7" t="s">
        <v>58</v>
      </c>
      <c r="F2" s="7" t="s">
        <v>60</v>
      </c>
      <c r="G2" s="6" t="s">
        <v>59</v>
      </c>
      <c r="H2" s="7" t="s">
        <v>58</v>
      </c>
      <c r="I2" s="7" t="s">
        <v>60</v>
      </c>
      <c r="J2" s="6" t="s">
        <v>59</v>
      </c>
      <c r="K2" s="7" t="s">
        <v>58</v>
      </c>
      <c r="L2" s="7" t="s">
        <v>60</v>
      </c>
      <c r="M2" s="6" t="s">
        <v>59</v>
      </c>
      <c r="N2" s="7" t="s">
        <v>58</v>
      </c>
      <c r="O2" s="7" t="s">
        <v>60</v>
      </c>
      <c r="P2" s="6" t="s">
        <v>59</v>
      </c>
      <c r="Q2" s="7" t="s">
        <v>58</v>
      </c>
      <c r="R2" s="6" t="s">
        <v>59</v>
      </c>
    </row>
    <row r="3" spans="1:21" ht="15" thickTop="1" x14ac:dyDescent="0.35">
      <c r="A3" s="1" t="s">
        <v>11</v>
      </c>
      <c r="B3" s="9">
        <v>1876.1529850024101</v>
      </c>
      <c r="C3" s="8">
        <v>2242.5</v>
      </c>
      <c r="D3" s="9">
        <f t="shared" ref="D3:D13" si="0">(B3*C3)/1000</f>
        <v>4207.2730688679048</v>
      </c>
      <c r="E3" s="9">
        <v>3477.1722838008818</v>
      </c>
      <c r="F3" s="8">
        <v>2550</v>
      </c>
      <c r="G3" s="9">
        <f t="shared" ref="G3:G44" si="1">(E3*F3)/1000</f>
        <v>8866.78932369225</v>
      </c>
      <c r="H3" s="9">
        <v>4179.3999999999996</v>
      </c>
      <c r="I3" s="8">
        <v>3015</v>
      </c>
      <c r="J3" s="9">
        <f t="shared" ref="J3:J44" si="2">(H3*I3)/1000</f>
        <v>12600.890999999998</v>
      </c>
      <c r="K3" s="9"/>
      <c r="L3" s="8"/>
      <c r="M3" s="9">
        <f t="shared" ref="M3:M18" si="3">(K3*L3)/1000</f>
        <v>0</v>
      </c>
      <c r="N3" s="9"/>
      <c r="O3" s="8"/>
      <c r="P3" s="9"/>
      <c r="Q3" s="9">
        <f>N3+K3+H3+E3+B3</f>
        <v>9532.7252688032913</v>
      </c>
      <c r="R3" s="9">
        <f>P3+M3+J3+G3+D3</f>
        <v>25674.953392560154</v>
      </c>
      <c r="T3" s="8">
        <v>1950</v>
      </c>
      <c r="U3" s="39">
        <f t="shared" ref="U3:U44" si="4">T3+T3*0.15</f>
        <v>2242.5</v>
      </c>
    </row>
    <row r="4" spans="1:21" x14ac:dyDescent="0.35">
      <c r="A4" s="1" t="s">
        <v>5</v>
      </c>
      <c r="B4" s="9">
        <v>61420.776988402838</v>
      </c>
      <c r="C4" s="8">
        <v>805</v>
      </c>
      <c r="D4" s="9">
        <f t="shared" si="0"/>
        <v>49443.725475664287</v>
      </c>
      <c r="E4" s="9">
        <v>8764.8605888026868</v>
      </c>
      <c r="F4" s="8">
        <v>900</v>
      </c>
      <c r="G4" s="9">
        <f t="shared" si="1"/>
        <v>7888.3745299224183</v>
      </c>
      <c r="H4" s="9">
        <v>124.62</v>
      </c>
      <c r="I4" s="8">
        <v>600</v>
      </c>
      <c r="J4" s="9">
        <f t="shared" si="2"/>
        <v>74.772000000000006</v>
      </c>
      <c r="K4" s="9"/>
      <c r="L4" s="8"/>
      <c r="M4" s="9">
        <f t="shared" si="3"/>
        <v>0</v>
      </c>
      <c r="N4" s="9"/>
      <c r="O4" s="8">
        <v>0</v>
      </c>
      <c r="P4" s="9"/>
      <c r="Q4" s="9">
        <f t="shared" ref="Q4:Q44" si="5">N4+K4+H4+E4+B4</f>
        <v>70310.257577205528</v>
      </c>
      <c r="R4" s="9">
        <f t="shared" ref="R4:R44" si="6">P4+M4+J4+G4+D4</f>
        <v>57406.872005586702</v>
      </c>
      <c r="T4" s="8">
        <v>700</v>
      </c>
      <c r="U4" s="39">
        <f t="shared" si="4"/>
        <v>805</v>
      </c>
    </row>
    <row r="5" spans="1:21" x14ac:dyDescent="0.35">
      <c r="A5" s="1" t="s">
        <v>2</v>
      </c>
      <c r="B5" s="9">
        <v>3663.6149999999998</v>
      </c>
      <c r="C5" s="8">
        <v>1035</v>
      </c>
      <c r="D5" s="9">
        <f t="shared" si="0"/>
        <v>3791.8415249999998</v>
      </c>
      <c r="E5" s="9">
        <v>311.58482344859556</v>
      </c>
      <c r="F5" s="8">
        <v>800</v>
      </c>
      <c r="G5" s="9">
        <f t="shared" si="1"/>
        <v>249.26785875887646</v>
      </c>
      <c r="H5" s="9">
        <v>1611.492</v>
      </c>
      <c r="I5" s="8">
        <v>2900</v>
      </c>
      <c r="J5" s="9">
        <f t="shared" si="2"/>
        <v>4673.3267999999998</v>
      </c>
      <c r="K5" s="9">
        <v>32743.55</v>
      </c>
      <c r="L5" s="8">
        <v>3994.8618697422853</v>
      </c>
      <c r="M5" s="9">
        <f t="shared" si="3"/>
        <v>130805.95937500001</v>
      </c>
      <c r="N5" s="9"/>
      <c r="O5" s="8">
        <v>0</v>
      </c>
      <c r="P5" s="9"/>
      <c r="Q5" s="9">
        <f t="shared" si="5"/>
        <v>38330.241823448596</v>
      </c>
      <c r="R5" s="9">
        <f t="shared" si="6"/>
        <v>139520.3955587589</v>
      </c>
      <c r="T5" s="8">
        <v>900</v>
      </c>
      <c r="U5" s="39">
        <f>T5+T5*0.15</f>
        <v>1035</v>
      </c>
    </row>
    <row r="6" spans="1:21" x14ac:dyDescent="0.35">
      <c r="A6" s="1" t="s">
        <v>32</v>
      </c>
      <c r="B6" s="9">
        <v>30314.9129707106</v>
      </c>
      <c r="C6" s="8">
        <v>1725</v>
      </c>
      <c r="D6" s="9">
        <f t="shared" si="0"/>
        <v>52293.224874475782</v>
      </c>
      <c r="E6" s="9">
        <v>11953.681508423986</v>
      </c>
      <c r="F6" s="8">
        <v>1300</v>
      </c>
      <c r="G6" s="9">
        <f t="shared" si="1"/>
        <v>15539.785960951182</v>
      </c>
      <c r="H6" s="9">
        <v>7819.9520000000002</v>
      </c>
      <c r="I6" s="8">
        <v>2500</v>
      </c>
      <c r="J6" s="9">
        <f t="shared" si="2"/>
        <v>19549.88</v>
      </c>
      <c r="K6" s="9"/>
      <c r="L6" s="8"/>
      <c r="M6" s="9">
        <f t="shared" si="3"/>
        <v>0</v>
      </c>
      <c r="N6" s="9"/>
      <c r="O6" s="8">
        <v>0</v>
      </c>
      <c r="P6" s="9"/>
      <c r="Q6" s="9">
        <f t="shared" si="5"/>
        <v>50088.546479134588</v>
      </c>
      <c r="R6" s="9">
        <f t="shared" si="6"/>
        <v>87382.890835426966</v>
      </c>
      <c r="T6" s="8">
        <v>1500</v>
      </c>
      <c r="U6" s="39">
        <f t="shared" si="4"/>
        <v>1725</v>
      </c>
    </row>
    <row r="7" spans="1:21" x14ac:dyDescent="0.35">
      <c r="A7" s="1" t="s">
        <v>39</v>
      </c>
      <c r="B7" s="9">
        <v>21677.360000000001</v>
      </c>
      <c r="C7" s="8">
        <v>2311.5</v>
      </c>
      <c r="D7" s="9">
        <f t="shared" si="0"/>
        <v>50107.217640000003</v>
      </c>
      <c r="E7" s="9">
        <v>9692.6933304280901</v>
      </c>
      <c r="F7" s="8">
        <v>1970</v>
      </c>
      <c r="G7" s="9">
        <f t="shared" si="1"/>
        <v>19094.605860943335</v>
      </c>
      <c r="H7" s="9">
        <v>11505.8</v>
      </c>
      <c r="I7" s="8">
        <v>3020</v>
      </c>
      <c r="J7" s="9">
        <f t="shared" si="2"/>
        <v>34747.516000000003</v>
      </c>
      <c r="K7" s="9">
        <v>31184.748</v>
      </c>
      <c r="L7" s="8">
        <v>3622.6286609082108</v>
      </c>
      <c r="M7" s="9">
        <f t="shared" si="3"/>
        <v>112970.76188799999</v>
      </c>
      <c r="N7" s="9"/>
      <c r="O7" s="8"/>
      <c r="P7" s="9"/>
      <c r="Q7" s="9">
        <f t="shared" si="5"/>
        <v>74060.601330428093</v>
      </c>
      <c r="R7" s="9">
        <f t="shared" si="6"/>
        <v>216920.10138894332</v>
      </c>
      <c r="T7" s="8">
        <v>2010</v>
      </c>
      <c r="U7" s="39">
        <f t="shared" si="4"/>
        <v>2311.5</v>
      </c>
    </row>
    <row r="8" spans="1:21" x14ac:dyDescent="0.35">
      <c r="A8" s="1" t="s">
        <v>8</v>
      </c>
      <c r="B8" s="9">
        <v>1517.0619132119034</v>
      </c>
      <c r="C8" s="8">
        <v>172.5</v>
      </c>
      <c r="D8" s="9">
        <f t="shared" si="0"/>
        <v>261.69318002905334</v>
      </c>
      <c r="E8" s="9">
        <v>828.26359331026526</v>
      </c>
      <c r="F8" s="8">
        <v>700</v>
      </c>
      <c r="G8" s="9">
        <f t="shared" si="1"/>
        <v>579.78451531718565</v>
      </c>
      <c r="H8" s="9">
        <v>942.7333105881404</v>
      </c>
      <c r="I8" s="8">
        <v>1500</v>
      </c>
      <c r="J8" s="9">
        <f t="shared" si="2"/>
        <v>1414.0999658822104</v>
      </c>
      <c r="K8" s="9"/>
      <c r="L8" s="8"/>
      <c r="M8" s="9">
        <f t="shared" si="3"/>
        <v>0</v>
      </c>
      <c r="N8" s="9"/>
      <c r="O8" s="8">
        <v>0</v>
      </c>
      <c r="P8" s="9"/>
      <c r="Q8" s="9">
        <f t="shared" si="5"/>
        <v>3288.0588171103091</v>
      </c>
      <c r="R8" s="9">
        <f t="shared" si="6"/>
        <v>2255.5776612284494</v>
      </c>
      <c r="T8" s="8">
        <v>150</v>
      </c>
      <c r="U8" s="39">
        <f t="shared" si="4"/>
        <v>172.5</v>
      </c>
    </row>
    <row r="9" spans="1:21" x14ac:dyDescent="0.35">
      <c r="A9" s="1" t="s">
        <v>6</v>
      </c>
      <c r="B9" s="9">
        <v>26837.073004008889</v>
      </c>
      <c r="C9" s="8">
        <v>862.5</v>
      </c>
      <c r="D9" s="9">
        <f t="shared" si="0"/>
        <v>23146.975465957668</v>
      </c>
      <c r="E9" s="9">
        <v>3049.2107999999998</v>
      </c>
      <c r="F9" s="8">
        <v>500</v>
      </c>
      <c r="G9" s="9">
        <f t="shared" si="1"/>
        <v>1524.6053999999999</v>
      </c>
      <c r="H9" s="9">
        <v>208.58</v>
      </c>
      <c r="I9" s="8">
        <v>697.2</v>
      </c>
      <c r="J9" s="9">
        <f t="shared" si="2"/>
        <v>145.42197600000003</v>
      </c>
      <c r="K9" s="9"/>
      <c r="L9" s="8"/>
      <c r="M9" s="9">
        <f t="shared" si="3"/>
        <v>0</v>
      </c>
      <c r="N9" s="9"/>
      <c r="O9" s="8">
        <v>0</v>
      </c>
      <c r="P9" s="9"/>
      <c r="Q9" s="9">
        <f t="shared" si="5"/>
        <v>30094.863804008888</v>
      </c>
      <c r="R9" s="9">
        <f t="shared" si="6"/>
        <v>24817.00284195767</v>
      </c>
      <c r="T9" s="8">
        <v>750</v>
      </c>
      <c r="U9" s="39">
        <f t="shared" si="4"/>
        <v>862.5</v>
      </c>
    </row>
    <row r="10" spans="1:21" x14ac:dyDescent="0.35">
      <c r="A10" s="1" t="s">
        <v>23</v>
      </c>
      <c r="B10" s="9">
        <v>87006.017441771924</v>
      </c>
      <c r="C10" s="8">
        <v>862.5</v>
      </c>
      <c r="D10" s="9">
        <f t="shared" si="0"/>
        <v>75042.690043528288</v>
      </c>
      <c r="E10" s="9">
        <v>5393.1594268185436</v>
      </c>
      <c r="F10" s="8">
        <v>800</v>
      </c>
      <c r="G10" s="9">
        <f t="shared" si="1"/>
        <v>4314.527541454835</v>
      </c>
      <c r="H10" s="9">
        <v>2394.02</v>
      </c>
      <c r="I10" s="8">
        <v>1900</v>
      </c>
      <c r="J10" s="9">
        <f t="shared" si="2"/>
        <v>4548.6379999999999</v>
      </c>
      <c r="K10" s="9">
        <v>3509</v>
      </c>
      <c r="L10" s="8">
        <v>1725</v>
      </c>
      <c r="M10" s="9">
        <f t="shared" si="3"/>
        <v>6053.0249999999996</v>
      </c>
      <c r="N10" s="9"/>
      <c r="O10" s="8">
        <v>0</v>
      </c>
      <c r="P10" s="9"/>
      <c r="Q10" s="9">
        <f t="shared" si="5"/>
        <v>98302.196868590472</v>
      </c>
      <c r="R10" s="9">
        <f t="shared" si="6"/>
        <v>89958.880584983126</v>
      </c>
      <c r="T10" s="8">
        <v>750</v>
      </c>
      <c r="U10" s="39">
        <f t="shared" si="4"/>
        <v>862.5</v>
      </c>
    </row>
    <row r="11" spans="1:21" x14ac:dyDescent="0.35">
      <c r="A11" s="1" t="s">
        <v>24</v>
      </c>
      <c r="B11" s="9">
        <v>62730.98267455562</v>
      </c>
      <c r="C11" s="8">
        <v>1495</v>
      </c>
      <c r="D11" s="9">
        <f t="shared" si="0"/>
        <v>93782.819098460663</v>
      </c>
      <c r="E11" s="9">
        <v>4398.04</v>
      </c>
      <c r="F11" s="8">
        <v>1050</v>
      </c>
      <c r="G11" s="9">
        <f t="shared" si="1"/>
        <v>4617.942</v>
      </c>
      <c r="H11" s="9">
        <v>16169.468836345264</v>
      </c>
      <c r="I11" s="8">
        <v>1850</v>
      </c>
      <c r="J11" s="9">
        <f t="shared" si="2"/>
        <v>29913.51734723874</v>
      </c>
      <c r="K11" s="9">
        <v>3471.4800000000005</v>
      </c>
      <c r="L11" s="8">
        <v>2300</v>
      </c>
      <c r="M11" s="9">
        <f t="shared" si="3"/>
        <v>7984.4040000000014</v>
      </c>
      <c r="N11" s="9"/>
      <c r="O11" s="8">
        <v>0</v>
      </c>
      <c r="P11" s="9"/>
      <c r="Q11" s="9">
        <f t="shared" si="5"/>
        <v>86769.971510900883</v>
      </c>
      <c r="R11" s="9">
        <f t="shared" si="6"/>
        <v>136298.68244569941</v>
      </c>
      <c r="T11" s="8">
        <v>1300</v>
      </c>
      <c r="U11" s="39">
        <f t="shared" si="4"/>
        <v>1495</v>
      </c>
    </row>
    <row r="12" spans="1:21" x14ac:dyDescent="0.35">
      <c r="A12" s="1" t="s">
        <v>25</v>
      </c>
      <c r="B12" s="9">
        <v>31584.02396974566</v>
      </c>
      <c r="C12" s="8">
        <v>925.98</v>
      </c>
      <c r="D12" s="9">
        <f t="shared" si="0"/>
        <v>29246.174515505085</v>
      </c>
      <c r="E12" s="9">
        <v>4966.6000000000004</v>
      </c>
      <c r="F12" s="8">
        <v>754.8</v>
      </c>
      <c r="G12" s="9">
        <f t="shared" si="1"/>
        <v>3748.7896800000003</v>
      </c>
      <c r="H12" s="9">
        <v>8763.880000000001</v>
      </c>
      <c r="I12" s="8">
        <v>978.6</v>
      </c>
      <c r="J12" s="9">
        <f t="shared" si="2"/>
        <v>8576.3329680000006</v>
      </c>
      <c r="K12" s="9"/>
      <c r="L12" s="8"/>
      <c r="M12" s="9">
        <f t="shared" si="3"/>
        <v>0</v>
      </c>
      <c r="N12" s="9"/>
      <c r="O12" s="8">
        <v>0</v>
      </c>
      <c r="P12" s="9"/>
      <c r="Q12" s="9">
        <f t="shared" si="5"/>
        <v>45314.50396974566</v>
      </c>
      <c r="R12" s="9">
        <f t="shared" si="6"/>
        <v>41571.297163505085</v>
      </c>
      <c r="T12" s="8">
        <v>805.2</v>
      </c>
      <c r="U12" s="39">
        <f t="shared" si="4"/>
        <v>925.98</v>
      </c>
    </row>
    <row r="13" spans="1:21" x14ac:dyDescent="0.35">
      <c r="A13" s="1" t="s">
        <v>12</v>
      </c>
      <c r="B13" s="9">
        <v>12816.417598616426</v>
      </c>
      <c r="C13" s="8">
        <v>1293.75</v>
      </c>
      <c r="D13" s="9">
        <f t="shared" si="0"/>
        <v>16581.24026821</v>
      </c>
      <c r="E13" s="9">
        <v>6023.3910624039463</v>
      </c>
      <c r="F13" s="8">
        <v>1342</v>
      </c>
      <c r="G13" s="9">
        <f t="shared" si="1"/>
        <v>8083.3908057460958</v>
      </c>
      <c r="H13" s="9">
        <v>8240.58</v>
      </c>
      <c r="I13" s="8">
        <v>2578</v>
      </c>
      <c r="J13" s="9">
        <f t="shared" si="2"/>
        <v>21244.215239999998</v>
      </c>
      <c r="K13" s="9">
        <v>2370.0435950816286</v>
      </c>
      <c r="L13" s="8">
        <v>1817.2087078137934</v>
      </c>
      <c r="M13" s="9">
        <f t="shared" si="3"/>
        <v>4306.8638588806434</v>
      </c>
      <c r="N13" s="9"/>
      <c r="O13" s="8"/>
      <c r="P13" s="9"/>
      <c r="Q13" s="9">
        <f t="shared" si="5"/>
        <v>29450.432256102002</v>
      </c>
      <c r="R13" s="9">
        <f t="shared" si="6"/>
        <v>50215.710172836734</v>
      </c>
      <c r="T13" s="8">
        <v>1125</v>
      </c>
      <c r="U13" s="39">
        <f t="shared" si="4"/>
        <v>1293.75</v>
      </c>
    </row>
    <row r="14" spans="1:21" x14ac:dyDescent="0.35">
      <c r="A14" s="1" t="s">
        <v>40</v>
      </c>
      <c r="B14" s="9">
        <v>20616.7389252182</v>
      </c>
      <c r="C14" s="8">
        <v>2300</v>
      </c>
      <c r="D14" s="9">
        <f>(B14*C14)/1000</f>
        <v>47418.499528001863</v>
      </c>
      <c r="E14" s="9">
        <v>7717.48655145464</v>
      </c>
      <c r="F14" s="8">
        <v>2200</v>
      </c>
      <c r="G14" s="9">
        <f t="shared" si="1"/>
        <v>16978.470413200208</v>
      </c>
      <c r="H14" s="9">
        <v>9108.52</v>
      </c>
      <c r="I14" s="8">
        <v>3600</v>
      </c>
      <c r="J14" s="9">
        <f t="shared" si="2"/>
        <v>32790.671999999999</v>
      </c>
      <c r="K14" s="9">
        <v>34761.81</v>
      </c>
      <c r="L14" s="8">
        <v>3635.4988060172927</v>
      </c>
      <c r="M14" s="9">
        <f t="shared" si="3"/>
        <v>126376.51874999999</v>
      </c>
      <c r="N14" s="9">
        <v>1000</v>
      </c>
      <c r="O14" s="8">
        <v>1200</v>
      </c>
      <c r="P14" s="9">
        <f>(N14*O14)/1000</f>
        <v>1200</v>
      </c>
      <c r="Q14" s="9">
        <f t="shared" si="5"/>
        <v>73204.555476672846</v>
      </c>
      <c r="R14" s="9">
        <f t="shared" si="6"/>
        <v>224764.16069120204</v>
      </c>
      <c r="T14" s="8">
        <v>2000</v>
      </c>
      <c r="U14" s="39">
        <f t="shared" si="4"/>
        <v>2300</v>
      </c>
    </row>
    <row r="15" spans="1:21" x14ac:dyDescent="0.35">
      <c r="A15" s="1" t="s">
        <v>14</v>
      </c>
      <c r="B15" s="9">
        <v>29705.464500283735</v>
      </c>
      <c r="C15" s="8">
        <v>977.5</v>
      </c>
      <c r="D15" s="9">
        <f t="shared" ref="D15:D19" si="7">(B15*C15)/1000</f>
        <v>29037.091549027351</v>
      </c>
      <c r="E15" s="9">
        <v>1522.9483421437812</v>
      </c>
      <c r="F15" s="8">
        <v>900</v>
      </c>
      <c r="G15" s="9">
        <f t="shared" si="1"/>
        <v>1370.6535079294031</v>
      </c>
      <c r="H15" s="9">
        <v>5479.94</v>
      </c>
      <c r="I15" s="8">
        <v>1350</v>
      </c>
      <c r="J15" s="9">
        <f t="shared" si="2"/>
        <v>7397.918999999999</v>
      </c>
      <c r="K15" s="9"/>
      <c r="L15" s="8"/>
      <c r="M15" s="9">
        <f t="shared" si="3"/>
        <v>0</v>
      </c>
      <c r="N15" s="9"/>
      <c r="O15" s="8">
        <v>0</v>
      </c>
      <c r="P15" s="9"/>
      <c r="Q15" s="9">
        <f t="shared" si="5"/>
        <v>36708.352842427514</v>
      </c>
      <c r="R15" s="9">
        <f t="shared" si="6"/>
        <v>37805.664056956753</v>
      </c>
      <c r="T15" s="8">
        <v>850</v>
      </c>
      <c r="U15" s="39">
        <f t="shared" si="4"/>
        <v>977.5</v>
      </c>
    </row>
    <row r="16" spans="1:21" x14ac:dyDescent="0.35">
      <c r="A16" s="1" t="s">
        <v>33</v>
      </c>
      <c r="B16" s="9">
        <v>36611.407248605406</v>
      </c>
      <c r="C16" s="8">
        <v>1725</v>
      </c>
      <c r="D16" s="9">
        <f t="shared" si="7"/>
        <v>63154.67750384433</v>
      </c>
      <c r="E16" s="9">
        <v>18114.580000000002</v>
      </c>
      <c r="F16" s="8">
        <v>1700</v>
      </c>
      <c r="G16" s="9">
        <f t="shared" si="1"/>
        <v>30794.786000000004</v>
      </c>
      <c r="H16" s="9">
        <v>11259.903</v>
      </c>
      <c r="I16" s="8">
        <v>2900</v>
      </c>
      <c r="J16" s="9">
        <f t="shared" si="2"/>
        <v>32653.718699999998</v>
      </c>
      <c r="K16" s="9">
        <v>243.15545757710652</v>
      </c>
      <c r="L16" s="8">
        <v>1031.7572299999999</v>
      </c>
      <c r="M16" s="9">
        <f t="shared" si="3"/>
        <v>250.87740136913791</v>
      </c>
      <c r="N16" s="9"/>
      <c r="O16" s="8">
        <v>0</v>
      </c>
      <c r="P16" s="9"/>
      <c r="Q16" s="9">
        <f t="shared" si="5"/>
        <v>66229.045706182515</v>
      </c>
      <c r="R16" s="9">
        <f t="shared" si="6"/>
        <v>126854.05960521346</v>
      </c>
      <c r="T16" s="8">
        <v>1500</v>
      </c>
      <c r="U16" s="39">
        <f t="shared" si="4"/>
        <v>1725</v>
      </c>
    </row>
    <row r="17" spans="1:21" x14ac:dyDescent="0.35">
      <c r="A17" s="1" t="s">
        <v>29</v>
      </c>
      <c r="B17" s="9">
        <v>5749.8339999999998</v>
      </c>
      <c r="C17" s="8">
        <v>1035</v>
      </c>
      <c r="D17" s="9">
        <f t="shared" si="7"/>
        <v>5951.0781899999993</v>
      </c>
      <c r="E17" s="9">
        <v>7171.2297695238112</v>
      </c>
      <c r="F17" s="8">
        <v>900</v>
      </c>
      <c r="G17" s="9">
        <f t="shared" si="1"/>
        <v>6454.1067925714297</v>
      </c>
      <c r="H17" s="9">
        <v>388.04152728571427</v>
      </c>
      <c r="I17" s="8">
        <v>1000</v>
      </c>
      <c r="J17" s="9">
        <f t="shared" si="2"/>
        <v>388.04152728571427</v>
      </c>
      <c r="K17" s="9"/>
      <c r="L17" s="8"/>
      <c r="M17" s="9">
        <f t="shared" si="3"/>
        <v>0</v>
      </c>
      <c r="N17" s="9"/>
      <c r="O17" s="8">
        <v>0</v>
      </c>
      <c r="P17" s="9"/>
      <c r="Q17" s="9">
        <f t="shared" si="5"/>
        <v>13309.105296809525</v>
      </c>
      <c r="R17" s="9">
        <f t="shared" si="6"/>
        <v>12793.226509857144</v>
      </c>
      <c r="T17" s="8">
        <v>900</v>
      </c>
      <c r="U17" s="39">
        <f t="shared" si="4"/>
        <v>1035</v>
      </c>
    </row>
    <row r="18" spans="1:21" x14ac:dyDescent="0.35">
      <c r="A18" s="1" t="s">
        <v>15</v>
      </c>
      <c r="B18" s="9">
        <v>47912.876604612473</v>
      </c>
      <c r="C18" s="8">
        <v>977.5</v>
      </c>
      <c r="D18" s="9">
        <f t="shared" si="7"/>
        <v>46834.83688100869</v>
      </c>
      <c r="E18" s="9">
        <v>7977</v>
      </c>
      <c r="F18" s="8">
        <v>1100</v>
      </c>
      <c r="G18" s="9">
        <f t="shared" si="1"/>
        <v>8774.7000000000007</v>
      </c>
      <c r="H18" s="9">
        <v>16211.32</v>
      </c>
      <c r="I18" s="8">
        <v>1950</v>
      </c>
      <c r="J18" s="9">
        <f t="shared" si="2"/>
        <v>31612.074000000001</v>
      </c>
      <c r="K18" s="9">
        <v>524.89826923916826</v>
      </c>
      <c r="L18" s="8">
        <v>1725</v>
      </c>
      <c r="M18" s="9">
        <f t="shared" si="3"/>
        <v>905.4495144375652</v>
      </c>
      <c r="N18" s="9"/>
      <c r="O18" s="8">
        <v>0</v>
      </c>
      <c r="P18" s="9"/>
      <c r="Q18" s="9">
        <f t="shared" si="5"/>
        <v>72626.094873851645</v>
      </c>
      <c r="R18" s="9">
        <f t="shared" si="6"/>
        <v>88127.060395446257</v>
      </c>
      <c r="T18" s="8">
        <v>850</v>
      </c>
      <c r="U18" s="39">
        <f t="shared" si="4"/>
        <v>977.5</v>
      </c>
    </row>
    <row r="19" spans="1:21" x14ac:dyDescent="0.35">
      <c r="A19" s="1" t="s">
        <v>20</v>
      </c>
      <c r="B19" s="9">
        <v>35167.064636813375</v>
      </c>
      <c r="C19" s="8">
        <v>287.5</v>
      </c>
      <c r="D19" s="9">
        <f t="shared" si="7"/>
        <v>10110.531083083846</v>
      </c>
      <c r="E19" s="9">
        <v>174.55259520000001</v>
      </c>
      <c r="F19" s="8">
        <v>409</v>
      </c>
      <c r="G19" s="9">
        <f t="shared" si="1"/>
        <v>71.392011436800004</v>
      </c>
      <c r="H19" s="9"/>
      <c r="I19" s="8" t="s">
        <v>54</v>
      </c>
      <c r="J19" s="9"/>
      <c r="K19" s="9"/>
      <c r="L19" s="8"/>
      <c r="M19" s="9"/>
      <c r="N19" s="9"/>
      <c r="O19" s="8" t="s">
        <v>53</v>
      </c>
      <c r="P19" s="9"/>
      <c r="Q19" s="9">
        <f t="shared" si="5"/>
        <v>35341.617232013377</v>
      </c>
      <c r="R19" s="9">
        <f t="shared" si="6"/>
        <v>10181.923094520645</v>
      </c>
      <c r="T19" s="8">
        <v>250</v>
      </c>
      <c r="U19" s="39">
        <f t="shared" si="4"/>
        <v>287.5</v>
      </c>
    </row>
    <row r="20" spans="1:21" x14ac:dyDescent="0.35">
      <c r="A20" s="1" t="s">
        <v>36</v>
      </c>
      <c r="B20" s="9"/>
      <c r="C20" s="8">
        <v>0</v>
      </c>
      <c r="D20" s="9"/>
      <c r="E20" s="9">
        <v>1772.9177967406499</v>
      </c>
      <c r="F20" s="8">
        <v>2700</v>
      </c>
      <c r="G20" s="9">
        <f t="shared" si="1"/>
        <v>4786.8780511997547</v>
      </c>
      <c r="H20" s="9">
        <v>5505.3280000000004</v>
      </c>
      <c r="I20" s="8">
        <v>3200</v>
      </c>
      <c r="J20" s="9">
        <f t="shared" si="2"/>
        <v>17617.049600000002</v>
      </c>
      <c r="K20" s="9">
        <v>3127.0978</v>
      </c>
      <c r="L20" s="8">
        <v>3927.9247729316303</v>
      </c>
      <c r="M20" s="9">
        <f t="shared" ref="M20:M23" si="8">(K20*L20)/1000</f>
        <v>12283.004916000002</v>
      </c>
      <c r="N20" s="9">
        <v>1299</v>
      </c>
      <c r="O20" s="8">
        <v>700</v>
      </c>
      <c r="P20" s="9">
        <f>(N20*O20)/1000</f>
        <v>909.3</v>
      </c>
      <c r="Q20" s="9">
        <f t="shared" si="5"/>
        <v>11704.343596740651</v>
      </c>
      <c r="R20" s="9">
        <f t="shared" si="6"/>
        <v>35596.232567199761</v>
      </c>
      <c r="T20" s="8"/>
      <c r="U20" s="39">
        <f t="shared" si="4"/>
        <v>0</v>
      </c>
    </row>
    <row r="21" spans="1:21" x14ac:dyDescent="0.35">
      <c r="A21" s="1" t="s">
        <v>26</v>
      </c>
      <c r="B21" s="9">
        <v>7242.6839470293389</v>
      </c>
      <c r="C21" s="8">
        <v>1725</v>
      </c>
      <c r="D21" s="9">
        <f>(B21*C21)/1000</f>
        <v>12493.62980862561</v>
      </c>
      <c r="E21" s="9">
        <v>12454.306042570101</v>
      </c>
      <c r="F21" s="8">
        <v>1200</v>
      </c>
      <c r="G21" s="9">
        <f t="shared" si="1"/>
        <v>14945.167251084122</v>
      </c>
      <c r="H21" s="9">
        <v>12481.085346060927</v>
      </c>
      <c r="I21" s="8">
        <v>3550</v>
      </c>
      <c r="J21" s="9">
        <f t="shared" si="2"/>
        <v>44307.85297851629</v>
      </c>
      <c r="K21" s="9">
        <v>43427.436999999998</v>
      </c>
      <c r="L21" s="8">
        <v>3094.9705051670453</v>
      </c>
      <c r="M21" s="9">
        <f t="shared" si="8"/>
        <v>134406.63663000002</v>
      </c>
      <c r="N21" s="9">
        <v>239</v>
      </c>
      <c r="O21" s="8">
        <v>800</v>
      </c>
      <c r="P21" s="9">
        <f>(N21*O21)/1000</f>
        <v>191.2</v>
      </c>
      <c r="Q21" s="9">
        <f t="shared" si="5"/>
        <v>75844.512335660358</v>
      </c>
      <c r="R21" s="9">
        <f t="shared" si="6"/>
        <v>206344.48666822605</v>
      </c>
      <c r="T21" s="8">
        <v>1500</v>
      </c>
      <c r="U21" s="39">
        <f t="shared" si="4"/>
        <v>1725</v>
      </c>
    </row>
    <row r="22" spans="1:21" x14ac:dyDescent="0.35">
      <c r="A22" s="1" t="s">
        <v>34</v>
      </c>
      <c r="B22" s="9">
        <v>39079.816802602203</v>
      </c>
      <c r="C22" s="8">
        <v>1725</v>
      </c>
      <c r="D22" s="9">
        <f t="shared" ref="D22:D44" si="9">(B22*C22)/1000</f>
        <v>67412.683984488802</v>
      </c>
      <c r="E22" s="9">
        <v>19652.979599999999</v>
      </c>
      <c r="F22" s="8">
        <v>1900</v>
      </c>
      <c r="G22" s="9">
        <f t="shared" si="1"/>
        <v>37340.661239999994</v>
      </c>
      <c r="H22" s="9">
        <v>15342.8</v>
      </c>
      <c r="I22" s="8">
        <v>2700</v>
      </c>
      <c r="J22" s="9">
        <f t="shared" si="2"/>
        <v>41425.56</v>
      </c>
      <c r="K22" s="9">
        <v>113.94132812010189</v>
      </c>
      <c r="L22" s="8">
        <v>2817.5</v>
      </c>
      <c r="M22" s="9">
        <f t="shared" si="8"/>
        <v>321.02969197838706</v>
      </c>
      <c r="N22" s="9"/>
      <c r="O22" s="8">
        <v>0</v>
      </c>
      <c r="P22" s="9"/>
      <c r="Q22" s="9">
        <f t="shared" si="5"/>
        <v>74189.53773072231</v>
      </c>
      <c r="R22" s="9">
        <f t="shared" si="6"/>
        <v>146499.93491646717</v>
      </c>
      <c r="T22" s="8">
        <v>1500</v>
      </c>
      <c r="U22" s="39">
        <f t="shared" si="4"/>
        <v>1725</v>
      </c>
    </row>
    <row r="23" spans="1:21" x14ac:dyDescent="0.35">
      <c r="A23" s="1" t="s">
        <v>71</v>
      </c>
      <c r="B23" s="9">
        <v>18650.73</v>
      </c>
      <c r="C23" s="8">
        <v>1242.23</v>
      </c>
      <c r="D23" s="9">
        <f t="shared" si="9"/>
        <v>23168.4963279</v>
      </c>
      <c r="E23" s="9">
        <v>7042.2708399018475</v>
      </c>
      <c r="F23" s="8">
        <v>988.73799999999994</v>
      </c>
      <c r="G23" s="9">
        <f t="shared" si="1"/>
        <v>6962.9607857028723</v>
      </c>
      <c r="H23" s="9">
        <v>7904.366</v>
      </c>
      <c r="I23" s="8">
        <v>2900</v>
      </c>
      <c r="J23" s="9">
        <f t="shared" si="2"/>
        <v>22922.661399999997</v>
      </c>
      <c r="K23" s="9">
        <v>2026.433</v>
      </c>
      <c r="L23" s="8">
        <v>3127.416068303196</v>
      </c>
      <c r="M23" s="9">
        <f t="shared" si="8"/>
        <v>6337.4991255398509</v>
      </c>
      <c r="N23" s="9"/>
      <c r="O23" s="8">
        <v>0</v>
      </c>
      <c r="P23" s="9"/>
      <c r="Q23" s="9">
        <f t="shared" si="5"/>
        <v>35623.799839901847</v>
      </c>
      <c r="R23" s="9">
        <f t="shared" si="6"/>
        <v>59391.617639142722</v>
      </c>
      <c r="T23" s="8">
        <v>1080.2</v>
      </c>
      <c r="U23" s="39">
        <f t="shared" si="4"/>
        <v>1242.23</v>
      </c>
    </row>
    <row r="24" spans="1:21" x14ac:dyDescent="0.35">
      <c r="A24" s="1" t="s">
        <v>21</v>
      </c>
      <c r="B24" s="9">
        <v>36645.690633080609</v>
      </c>
      <c r="C24" s="8">
        <v>345</v>
      </c>
      <c r="D24" s="9">
        <f t="shared" si="9"/>
        <v>12642.763268412809</v>
      </c>
      <c r="E24" s="9">
        <v>844.93291059039802</v>
      </c>
      <c r="F24" s="8">
        <v>400</v>
      </c>
      <c r="G24" s="9">
        <f t="shared" si="1"/>
        <v>337.97316423615916</v>
      </c>
      <c r="H24" s="9">
        <v>5546.3427118117434</v>
      </c>
      <c r="I24" s="8">
        <v>1000</v>
      </c>
      <c r="J24" s="9">
        <f t="shared" si="2"/>
        <v>5546.3427118117434</v>
      </c>
      <c r="K24" s="9"/>
      <c r="L24" s="8"/>
      <c r="M24" s="9">
        <f t="shared" ref="M24:M40" si="10">(K24*L24)/1000</f>
        <v>0</v>
      </c>
      <c r="N24" s="9"/>
      <c r="O24" s="8">
        <v>0</v>
      </c>
      <c r="P24" s="9"/>
      <c r="Q24" s="9">
        <f t="shared" si="5"/>
        <v>43036.966255482752</v>
      </c>
      <c r="R24" s="9">
        <f t="shared" si="6"/>
        <v>18527.079144460713</v>
      </c>
      <c r="T24" s="8">
        <v>300</v>
      </c>
      <c r="U24" s="39">
        <f t="shared" si="4"/>
        <v>345</v>
      </c>
    </row>
    <row r="25" spans="1:21" x14ac:dyDescent="0.35">
      <c r="A25" s="1" t="s">
        <v>22</v>
      </c>
      <c r="B25" s="9">
        <v>26255.690692271932</v>
      </c>
      <c r="C25" s="8">
        <v>402.5</v>
      </c>
      <c r="D25" s="9">
        <f t="shared" si="9"/>
        <v>10567.915503639451</v>
      </c>
      <c r="E25" s="9">
        <v>1393.1785337959641</v>
      </c>
      <c r="F25" s="8">
        <v>400</v>
      </c>
      <c r="G25" s="9">
        <f t="shared" si="1"/>
        <v>557.27141351838566</v>
      </c>
      <c r="H25" s="9"/>
      <c r="I25" s="8">
        <v>0</v>
      </c>
      <c r="J25" s="9"/>
      <c r="K25" s="9"/>
      <c r="L25" s="8"/>
      <c r="M25" s="9">
        <f t="shared" si="10"/>
        <v>0</v>
      </c>
      <c r="N25" s="9"/>
      <c r="O25" s="8">
        <v>0</v>
      </c>
      <c r="P25" s="9"/>
      <c r="Q25" s="9">
        <f t="shared" si="5"/>
        <v>27648.869226067894</v>
      </c>
      <c r="R25" s="9">
        <f t="shared" si="6"/>
        <v>11125.186917157836</v>
      </c>
      <c r="T25" s="8">
        <v>350</v>
      </c>
      <c r="U25" s="39">
        <f t="shared" si="4"/>
        <v>402.5</v>
      </c>
    </row>
    <row r="26" spans="1:21" x14ac:dyDescent="0.35">
      <c r="A26" s="1" t="s">
        <v>35</v>
      </c>
      <c r="B26" s="9">
        <v>44005.206685819765</v>
      </c>
      <c r="C26" s="8">
        <v>1495</v>
      </c>
      <c r="D26" s="9">
        <f t="shared" si="9"/>
        <v>65787.783995300546</v>
      </c>
      <c r="E26" s="9">
        <v>15054.060000000001</v>
      </c>
      <c r="F26" s="8">
        <v>1700</v>
      </c>
      <c r="G26" s="9">
        <f t="shared" si="1"/>
        <v>25591.902000000006</v>
      </c>
      <c r="H26" s="9">
        <v>8157.7790000000005</v>
      </c>
      <c r="I26" s="8">
        <v>2800</v>
      </c>
      <c r="J26" s="9">
        <f t="shared" si="2"/>
        <v>22841.781200000001</v>
      </c>
      <c r="K26" s="9">
        <v>83.187925687499998</v>
      </c>
      <c r="L26" s="8">
        <v>919.13750000000005</v>
      </c>
      <c r="M26" s="9">
        <f t="shared" si="10"/>
        <v>76.461142046594532</v>
      </c>
      <c r="N26" s="9"/>
      <c r="O26" s="8">
        <v>0</v>
      </c>
      <c r="P26" s="9"/>
      <c r="Q26" s="9">
        <f t="shared" si="5"/>
        <v>67300.233611507269</v>
      </c>
      <c r="R26" s="9">
        <f t="shared" si="6"/>
        <v>114297.92833734714</v>
      </c>
      <c r="T26" s="8">
        <v>1300</v>
      </c>
      <c r="U26" s="39">
        <f t="shared" si="4"/>
        <v>1495</v>
      </c>
    </row>
    <row r="27" spans="1:21" x14ac:dyDescent="0.35">
      <c r="A27" s="1" t="s">
        <v>30</v>
      </c>
      <c r="B27" s="9">
        <v>6222.6809999999996</v>
      </c>
      <c r="C27" s="8">
        <v>805</v>
      </c>
      <c r="D27" s="9">
        <f t="shared" si="9"/>
        <v>5009.2582050000001</v>
      </c>
      <c r="E27" s="9">
        <v>7210.324495187444</v>
      </c>
      <c r="F27" s="8">
        <v>800</v>
      </c>
      <c r="G27" s="9">
        <f t="shared" si="1"/>
        <v>5768.2595961499546</v>
      </c>
      <c r="H27" s="9">
        <v>62.98</v>
      </c>
      <c r="I27" s="8">
        <v>900</v>
      </c>
      <c r="J27" s="9">
        <f t="shared" si="2"/>
        <v>56.682000000000002</v>
      </c>
      <c r="K27" s="9"/>
      <c r="L27" s="8"/>
      <c r="M27" s="9">
        <f t="shared" si="10"/>
        <v>0</v>
      </c>
      <c r="N27" s="9"/>
      <c r="O27" s="8">
        <v>0</v>
      </c>
      <c r="P27" s="9"/>
      <c r="Q27" s="9">
        <f t="shared" si="5"/>
        <v>13495.985495187444</v>
      </c>
      <c r="R27" s="9">
        <f t="shared" si="6"/>
        <v>10834.199801149955</v>
      </c>
      <c r="T27" s="8">
        <v>700</v>
      </c>
      <c r="U27" s="39">
        <f t="shared" si="4"/>
        <v>805</v>
      </c>
    </row>
    <row r="28" spans="1:21" x14ac:dyDescent="0.35">
      <c r="A28" s="1" t="s">
        <v>7</v>
      </c>
      <c r="B28" s="9">
        <v>26078.05</v>
      </c>
      <c r="C28" s="8">
        <v>894.24</v>
      </c>
      <c r="D28" s="9">
        <f t="shared" si="9"/>
        <v>23320.035432000001</v>
      </c>
      <c r="E28" s="9">
        <v>3285.1819999999998</v>
      </c>
      <c r="F28" s="8">
        <v>872.4</v>
      </c>
      <c r="G28" s="9">
        <f t="shared" si="1"/>
        <v>2865.9927767999998</v>
      </c>
      <c r="H28" s="9">
        <v>577.6165928469436</v>
      </c>
      <c r="I28" s="8">
        <v>877.4</v>
      </c>
      <c r="J28" s="9">
        <f t="shared" si="2"/>
        <v>506.8007985639083</v>
      </c>
      <c r="K28" s="9"/>
      <c r="L28" s="8"/>
      <c r="M28" s="9">
        <f t="shared" si="10"/>
        <v>0</v>
      </c>
      <c r="N28" s="9"/>
      <c r="O28" s="8"/>
      <c r="P28" s="9"/>
      <c r="Q28" s="9">
        <f t="shared" si="5"/>
        <v>29940.848592846942</v>
      </c>
      <c r="R28" s="9">
        <f t="shared" si="6"/>
        <v>26692.829007363907</v>
      </c>
      <c r="T28" s="8">
        <v>777.6</v>
      </c>
      <c r="U28" s="39">
        <f t="shared" si="4"/>
        <v>894.24</v>
      </c>
    </row>
    <row r="29" spans="1:21" x14ac:dyDescent="0.35">
      <c r="A29" s="1" t="s">
        <v>17</v>
      </c>
      <c r="B29" s="9">
        <v>54950.543059314579</v>
      </c>
      <c r="C29" s="8">
        <v>747.5</v>
      </c>
      <c r="D29" s="9">
        <f t="shared" si="9"/>
        <v>41075.530936837647</v>
      </c>
      <c r="E29" s="9">
        <v>8654.920035219975</v>
      </c>
      <c r="F29" s="8">
        <v>800</v>
      </c>
      <c r="G29" s="9">
        <f t="shared" si="1"/>
        <v>6923.93602817598</v>
      </c>
      <c r="H29" s="9">
        <v>560.29176723067781</v>
      </c>
      <c r="I29" s="8">
        <v>650</v>
      </c>
      <c r="J29" s="9">
        <f t="shared" si="2"/>
        <v>364.18964869994056</v>
      </c>
      <c r="K29" s="9"/>
      <c r="L29" s="8"/>
      <c r="M29" s="9">
        <f t="shared" si="10"/>
        <v>0</v>
      </c>
      <c r="N29" s="9"/>
      <c r="O29" s="8" t="s">
        <v>53</v>
      </c>
      <c r="P29" s="9"/>
      <c r="Q29" s="9">
        <f t="shared" si="5"/>
        <v>64165.754861765236</v>
      </c>
      <c r="R29" s="9">
        <f t="shared" si="6"/>
        <v>48363.656613713567</v>
      </c>
      <c r="T29" s="8">
        <v>650</v>
      </c>
      <c r="U29" s="39">
        <f t="shared" si="4"/>
        <v>747.5</v>
      </c>
    </row>
    <row r="30" spans="1:21" x14ac:dyDescent="0.35">
      <c r="A30" s="1" t="s">
        <v>73</v>
      </c>
      <c r="B30" s="9">
        <v>27326.62</v>
      </c>
      <c r="C30" s="8">
        <v>2185</v>
      </c>
      <c r="D30" s="9">
        <f t="shared" si="9"/>
        <v>59708.664699999994</v>
      </c>
      <c r="E30" s="9">
        <v>12338.1608746896</v>
      </c>
      <c r="F30" s="8">
        <v>1700</v>
      </c>
      <c r="G30" s="9">
        <f t="shared" si="1"/>
        <v>20974.873486972319</v>
      </c>
      <c r="H30" s="9">
        <f>10318.4760231694+3000</f>
        <v>13318.4760231694</v>
      </c>
      <c r="I30" s="8">
        <v>4000</v>
      </c>
      <c r="J30" s="9">
        <f>(H30*I30)/1000</f>
        <v>53273.9040926776</v>
      </c>
      <c r="K30" s="9">
        <v>28357.932099999998</v>
      </c>
      <c r="L30" s="8">
        <v>2896.2484096292765</v>
      </c>
      <c r="M30" s="9">
        <f t="shared" si="10"/>
        <v>82131.615745000003</v>
      </c>
      <c r="N30" s="9"/>
      <c r="O30" s="8">
        <v>0</v>
      </c>
      <c r="P30" s="9"/>
      <c r="Q30" s="9">
        <f t="shared" si="5"/>
        <v>81341.188997859004</v>
      </c>
      <c r="R30" s="9">
        <f t="shared" si="6"/>
        <v>216089.05802464992</v>
      </c>
      <c r="T30" s="8">
        <v>1900</v>
      </c>
      <c r="U30" s="39">
        <f t="shared" si="4"/>
        <v>2185</v>
      </c>
    </row>
    <row r="31" spans="1:21" x14ac:dyDescent="0.35">
      <c r="A31" s="1" t="s">
        <v>16</v>
      </c>
      <c r="B31" s="9">
        <v>63188.064942711397</v>
      </c>
      <c r="C31" s="8">
        <v>1035</v>
      </c>
      <c r="D31" s="9">
        <f t="shared" si="9"/>
        <v>65399.647215706296</v>
      </c>
      <c r="E31" s="9">
        <v>5784.1288000000004</v>
      </c>
      <c r="F31" s="8">
        <v>800</v>
      </c>
      <c r="G31" s="9">
        <f t="shared" si="1"/>
        <v>4627.3030399999998</v>
      </c>
      <c r="H31" s="9">
        <v>20048.119233297191</v>
      </c>
      <c r="I31" s="8">
        <v>3500</v>
      </c>
      <c r="J31" s="9">
        <f t="shared" si="2"/>
        <v>70168.417316540173</v>
      </c>
      <c r="K31" s="9">
        <v>1497.92</v>
      </c>
      <c r="L31" s="8">
        <v>2185</v>
      </c>
      <c r="M31" s="9">
        <f t="shared" si="10"/>
        <v>3272.9552000000003</v>
      </c>
      <c r="N31" s="9"/>
      <c r="O31" s="8"/>
      <c r="P31" s="9"/>
      <c r="Q31" s="9">
        <f t="shared" si="5"/>
        <v>90518.232976008585</v>
      </c>
      <c r="R31" s="9">
        <f t="shared" si="6"/>
        <v>143468.32277224647</v>
      </c>
      <c r="T31" s="8">
        <v>900</v>
      </c>
      <c r="U31" s="39">
        <f t="shared" si="4"/>
        <v>1035</v>
      </c>
    </row>
    <row r="32" spans="1:21" x14ac:dyDescent="0.35">
      <c r="A32" s="1" t="s">
        <v>3</v>
      </c>
      <c r="B32" s="9">
        <v>419.81357092633925</v>
      </c>
      <c r="C32" s="8">
        <v>805</v>
      </c>
      <c r="D32" s="9">
        <f t="shared" si="9"/>
        <v>337.94992459570307</v>
      </c>
      <c r="E32" s="9"/>
      <c r="F32" s="8">
        <v>0</v>
      </c>
      <c r="G32" s="9">
        <f t="shared" si="1"/>
        <v>0</v>
      </c>
      <c r="H32" s="9">
        <v>196</v>
      </c>
      <c r="I32" s="8">
        <v>1069</v>
      </c>
      <c r="J32" s="9">
        <f t="shared" si="2"/>
        <v>209.524</v>
      </c>
      <c r="K32" s="9">
        <v>20651.650000000001</v>
      </c>
      <c r="L32" s="8">
        <v>2701.9591533848384</v>
      </c>
      <c r="M32" s="9">
        <f t="shared" si="10"/>
        <v>55799.914750000004</v>
      </c>
      <c r="N32" s="9"/>
      <c r="O32" s="8">
        <v>0</v>
      </c>
      <c r="P32" s="9"/>
      <c r="Q32" s="9">
        <f t="shared" si="5"/>
        <v>21267.463570926342</v>
      </c>
      <c r="R32" s="9">
        <f t="shared" si="6"/>
        <v>56347.388674595706</v>
      </c>
      <c r="T32" s="8">
        <v>700</v>
      </c>
      <c r="U32" s="39">
        <f t="shared" si="4"/>
        <v>805</v>
      </c>
    </row>
    <row r="33" spans="1:21" x14ac:dyDescent="0.35">
      <c r="A33" s="1" t="s">
        <v>9</v>
      </c>
      <c r="B33" s="9">
        <v>1750</v>
      </c>
      <c r="C33" s="8">
        <v>230</v>
      </c>
      <c r="D33" s="9">
        <f t="shared" si="9"/>
        <v>402.5</v>
      </c>
      <c r="E33" s="9">
        <v>6500</v>
      </c>
      <c r="F33" s="8">
        <v>800</v>
      </c>
      <c r="G33" s="9">
        <f t="shared" si="1"/>
        <v>5200</v>
      </c>
      <c r="H33" s="9">
        <v>1300</v>
      </c>
      <c r="I33" s="8">
        <v>1600</v>
      </c>
      <c r="J33" s="9">
        <f t="shared" si="2"/>
        <v>2080</v>
      </c>
      <c r="K33" s="9"/>
      <c r="L33" s="8"/>
      <c r="M33" s="9">
        <f t="shared" si="10"/>
        <v>0</v>
      </c>
      <c r="N33" s="9"/>
      <c r="O33" s="8">
        <v>0</v>
      </c>
      <c r="P33" s="9"/>
      <c r="Q33" s="9">
        <f t="shared" si="5"/>
        <v>9550</v>
      </c>
      <c r="R33" s="9">
        <f t="shared" si="6"/>
        <v>7682.5</v>
      </c>
      <c r="T33" s="8">
        <v>200</v>
      </c>
      <c r="U33" s="39">
        <f t="shared" si="4"/>
        <v>230</v>
      </c>
    </row>
    <row r="34" spans="1:21" x14ac:dyDescent="0.35">
      <c r="A34" s="1" t="s">
        <v>31</v>
      </c>
      <c r="B34" s="9">
        <v>10730.633191036712</v>
      </c>
      <c r="C34" s="8">
        <v>1035</v>
      </c>
      <c r="D34" s="9">
        <f t="shared" si="9"/>
        <v>11106.205352722996</v>
      </c>
      <c r="E34" s="9">
        <v>1153.268</v>
      </c>
      <c r="F34" s="8">
        <v>800</v>
      </c>
      <c r="G34" s="9">
        <f t="shared" si="1"/>
        <v>922.61440000000005</v>
      </c>
      <c r="H34" s="9">
        <v>1336.1399999999999</v>
      </c>
      <c r="I34" s="8">
        <v>900</v>
      </c>
      <c r="J34" s="9">
        <f t="shared" si="2"/>
        <v>1202.5260000000001</v>
      </c>
      <c r="K34" s="9"/>
      <c r="L34" s="8"/>
      <c r="M34" s="9">
        <f t="shared" si="10"/>
        <v>0</v>
      </c>
      <c r="N34" s="9"/>
      <c r="O34" s="8">
        <v>0</v>
      </c>
      <c r="P34" s="9"/>
      <c r="Q34" s="9">
        <f t="shared" si="5"/>
        <v>13220.041191036711</v>
      </c>
      <c r="R34" s="9">
        <f t="shared" si="6"/>
        <v>13231.345752722997</v>
      </c>
      <c r="T34" s="8">
        <v>900</v>
      </c>
      <c r="U34" s="39">
        <f t="shared" si="4"/>
        <v>1035</v>
      </c>
    </row>
    <row r="35" spans="1:21" x14ac:dyDescent="0.35">
      <c r="A35" s="1" t="s">
        <v>1</v>
      </c>
      <c r="B35" s="9"/>
      <c r="C35" s="8"/>
      <c r="D35" s="9"/>
      <c r="E35" s="9"/>
      <c r="F35" s="8"/>
      <c r="G35" s="9">
        <f t="shared" si="1"/>
        <v>0</v>
      </c>
      <c r="H35" s="9">
        <v>581.6</v>
      </c>
      <c r="I35" s="8">
        <v>1250</v>
      </c>
      <c r="J35" s="9">
        <f t="shared" si="2"/>
        <v>727</v>
      </c>
      <c r="K35" s="9"/>
      <c r="L35" s="8"/>
      <c r="M35" s="9">
        <f t="shared" si="10"/>
        <v>0</v>
      </c>
      <c r="N35" s="9"/>
      <c r="O35" s="8">
        <v>0</v>
      </c>
      <c r="P35" s="9"/>
      <c r="Q35" s="9">
        <f t="shared" si="5"/>
        <v>581.6</v>
      </c>
      <c r="R35" s="9">
        <f t="shared" si="6"/>
        <v>727</v>
      </c>
      <c r="T35" s="8">
        <v>0</v>
      </c>
      <c r="U35" s="39"/>
    </row>
    <row r="36" spans="1:21" x14ac:dyDescent="0.35">
      <c r="A36" s="1" t="s">
        <v>10</v>
      </c>
      <c r="B36" s="9">
        <v>995.05812572734396</v>
      </c>
      <c r="C36" s="8">
        <v>287.5</v>
      </c>
      <c r="D36" s="9">
        <f t="shared" si="9"/>
        <v>286.07921114661139</v>
      </c>
      <c r="E36" s="9">
        <v>2233.98</v>
      </c>
      <c r="F36" s="8">
        <v>400</v>
      </c>
      <c r="G36" s="9">
        <f t="shared" si="1"/>
        <v>893.59199999999998</v>
      </c>
      <c r="H36" s="9">
        <v>792.31666666666661</v>
      </c>
      <c r="I36" s="8">
        <v>1716</v>
      </c>
      <c r="J36" s="9">
        <f t="shared" si="2"/>
        <v>1359.6153999999999</v>
      </c>
      <c r="K36" s="9"/>
      <c r="L36" s="8"/>
      <c r="M36" s="9">
        <f t="shared" si="10"/>
        <v>0</v>
      </c>
      <c r="N36" s="9"/>
      <c r="O36" s="8">
        <v>0</v>
      </c>
      <c r="P36" s="9"/>
      <c r="Q36" s="9">
        <f t="shared" si="5"/>
        <v>4021.3547923940105</v>
      </c>
      <c r="R36" s="9">
        <f t="shared" si="6"/>
        <v>2539.286611146611</v>
      </c>
      <c r="T36" s="8">
        <v>250</v>
      </c>
      <c r="U36" s="39">
        <f t="shared" si="4"/>
        <v>287.5</v>
      </c>
    </row>
    <row r="37" spans="1:21" x14ac:dyDescent="0.35">
      <c r="A37" s="1" t="s">
        <v>37</v>
      </c>
      <c r="B37" s="9"/>
      <c r="C37" s="8"/>
      <c r="D37" s="9"/>
      <c r="E37" s="9">
        <v>1234.2009496678124</v>
      </c>
      <c r="F37" s="8">
        <v>1840</v>
      </c>
      <c r="G37" s="9">
        <f t="shared" si="1"/>
        <v>2270.929747388775</v>
      </c>
      <c r="H37" s="9">
        <v>7369.6149999999998</v>
      </c>
      <c r="I37" s="8">
        <v>3580</v>
      </c>
      <c r="J37" s="9">
        <f t="shared" si="2"/>
        <v>26383.221699999998</v>
      </c>
      <c r="K37" s="9">
        <v>2597.2654000000002</v>
      </c>
      <c r="L37" s="8">
        <v>3893.8631150285987</v>
      </c>
      <c r="M37" s="9">
        <f t="shared" si="10"/>
        <v>10113.395940999999</v>
      </c>
      <c r="N37" s="9">
        <v>655.99869999999999</v>
      </c>
      <c r="O37" s="8">
        <v>650</v>
      </c>
      <c r="P37" s="9">
        <f>(N37*O37)/1000</f>
        <v>426.39915499999995</v>
      </c>
      <c r="Q37" s="9">
        <f t="shared" si="5"/>
        <v>11857.080049667813</v>
      </c>
      <c r="R37" s="9">
        <f t="shared" si="6"/>
        <v>39193.946543388774</v>
      </c>
      <c r="T37" s="8">
        <v>0</v>
      </c>
      <c r="U37" s="39"/>
    </row>
    <row r="38" spans="1:21" x14ac:dyDescent="0.35">
      <c r="A38" s="1" t="s">
        <v>38</v>
      </c>
      <c r="B38" s="9"/>
      <c r="C38" s="8"/>
      <c r="D38" s="9"/>
      <c r="E38" s="9">
        <v>1783.6172329827423</v>
      </c>
      <c r="F38" s="8">
        <v>2750</v>
      </c>
      <c r="G38" s="9">
        <f t="shared" si="1"/>
        <v>4904.9473907025413</v>
      </c>
      <c r="H38" s="9">
        <v>6364.9031498381701</v>
      </c>
      <c r="I38" s="8">
        <v>3150</v>
      </c>
      <c r="J38" s="9">
        <f t="shared" si="2"/>
        <v>20049.444921990234</v>
      </c>
      <c r="K38" s="9">
        <v>554</v>
      </c>
      <c r="L38" s="8">
        <v>4263.5108303249099</v>
      </c>
      <c r="M38" s="9">
        <f t="shared" si="10"/>
        <v>2361.9850000000001</v>
      </c>
      <c r="N38" s="9">
        <v>390</v>
      </c>
      <c r="O38" s="8">
        <v>900</v>
      </c>
      <c r="P38" s="9">
        <f>(N38*O38)/1000</f>
        <v>351</v>
      </c>
      <c r="Q38" s="9">
        <f t="shared" si="5"/>
        <v>9092.5203828209123</v>
      </c>
      <c r="R38" s="9">
        <f t="shared" si="6"/>
        <v>27667.377312692777</v>
      </c>
      <c r="T38" s="8">
        <v>0</v>
      </c>
      <c r="U38" s="39"/>
    </row>
    <row r="39" spans="1:21" x14ac:dyDescent="0.35">
      <c r="A39" s="1" t="s">
        <v>41</v>
      </c>
      <c r="B39" s="9">
        <v>20592.796999999999</v>
      </c>
      <c r="C39" s="8">
        <v>2242.5</v>
      </c>
      <c r="D39" s="9">
        <f t="shared" si="9"/>
        <v>46179.347272499996</v>
      </c>
      <c r="E39" s="9">
        <v>9516.5192254359808</v>
      </c>
      <c r="F39" s="8">
        <v>2100</v>
      </c>
      <c r="G39" s="9">
        <f t="shared" si="1"/>
        <v>19984.69037341556</v>
      </c>
      <c r="H39" s="9">
        <f>22541.68+408</f>
        <v>22949.68</v>
      </c>
      <c r="I39" s="8">
        <v>3050</v>
      </c>
      <c r="J39" s="9">
        <f t="shared" si="2"/>
        <v>69996.524000000005</v>
      </c>
      <c r="K39" s="9">
        <v>33313.623999999996</v>
      </c>
      <c r="L39" s="8">
        <v>3532.8672827669548</v>
      </c>
      <c r="M39" s="9">
        <f t="shared" si="10"/>
        <v>117692.61229999999</v>
      </c>
      <c r="N39" s="9">
        <v>3001</v>
      </c>
      <c r="O39" s="8">
        <v>1100</v>
      </c>
      <c r="P39" s="9">
        <f>(N39*O39)/1000</f>
        <v>3301.1</v>
      </c>
      <c r="Q39" s="9">
        <f t="shared" si="5"/>
        <v>89373.620225435967</v>
      </c>
      <c r="R39" s="9">
        <f t="shared" si="6"/>
        <v>257154.27394591554</v>
      </c>
      <c r="T39" s="8">
        <v>1950</v>
      </c>
      <c r="U39" s="39">
        <f t="shared" si="4"/>
        <v>2242.5</v>
      </c>
    </row>
    <row r="40" spans="1:21" x14ac:dyDescent="0.35">
      <c r="A40" s="1" t="s">
        <v>13</v>
      </c>
      <c r="B40" s="9">
        <v>7797.2160000000003</v>
      </c>
      <c r="C40" s="8">
        <v>1495</v>
      </c>
      <c r="D40" s="9">
        <f t="shared" si="9"/>
        <v>11656.83792</v>
      </c>
      <c r="E40" s="9">
        <v>26394.678670884918</v>
      </c>
      <c r="F40" s="8">
        <v>1200</v>
      </c>
      <c r="G40" s="9">
        <f t="shared" si="1"/>
        <v>31673.6144050619</v>
      </c>
      <c r="H40" s="9">
        <f>14273.2816+250</f>
        <v>14523.2816</v>
      </c>
      <c r="I40" s="8">
        <v>3300</v>
      </c>
      <c r="J40" s="9">
        <f t="shared" si="2"/>
        <v>47926.829279999998</v>
      </c>
      <c r="K40" s="9">
        <v>4316.2948814582014</v>
      </c>
      <c r="L40" s="8">
        <v>2404.3813567586262</v>
      </c>
      <c r="M40" s="9">
        <f t="shared" si="10"/>
        <v>10378.018943250785</v>
      </c>
      <c r="N40" s="9">
        <v>236.50391999999999</v>
      </c>
      <c r="O40" s="8">
        <v>820</v>
      </c>
      <c r="P40" s="9">
        <f>(N40*O40)/1000</f>
        <v>193.9332144</v>
      </c>
      <c r="Q40" s="9">
        <f t="shared" si="5"/>
        <v>53267.975072343121</v>
      </c>
      <c r="R40" s="9">
        <f t="shared" si="6"/>
        <v>101829.23376271268</v>
      </c>
      <c r="T40" s="8">
        <v>1300</v>
      </c>
      <c r="U40" s="39">
        <f t="shared" si="4"/>
        <v>1495</v>
      </c>
    </row>
    <row r="41" spans="1:21" x14ac:dyDescent="0.35">
      <c r="A41" s="1" t="s">
        <v>18</v>
      </c>
      <c r="B41" s="9">
        <v>26789.263300056002</v>
      </c>
      <c r="C41" s="8">
        <v>920</v>
      </c>
      <c r="D41" s="9">
        <f t="shared" si="9"/>
        <v>24646.122236051524</v>
      </c>
      <c r="E41" s="9">
        <v>1604.9715081738836</v>
      </c>
      <c r="F41" s="8">
        <v>650</v>
      </c>
      <c r="G41" s="9">
        <f t="shared" si="1"/>
        <v>1043.2314803130243</v>
      </c>
      <c r="H41" s="9">
        <v>833.04</v>
      </c>
      <c r="I41" s="8">
        <v>700</v>
      </c>
      <c r="J41" s="9">
        <f t="shared" si="2"/>
        <v>583.12800000000004</v>
      </c>
      <c r="K41" s="9"/>
      <c r="L41" s="8" t="s">
        <v>53</v>
      </c>
      <c r="M41" s="9"/>
      <c r="N41" s="9"/>
      <c r="O41" s="8" t="s">
        <v>53</v>
      </c>
      <c r="P41" s="9"/>
      <c r="Q41" s="9">
        <f t="shared" si="5"/>
        <v>29227.274808229886</v>
      </c>
      <c r="R41" s="9">
        <f t="shared" si="6"/>
        <v>26272.481716364549</v>
      </c>
      <c r="T41" s="8">
        <v>800</v>
      </c>
      <c r="U41" s="39">
        <f t="shared" si="4"/>
        <v>920</v>
      </c>
    </row>
    <row r="42" spans="1:21" x14ac:dyDescent="0.35">
      <c r="A42" s="1" t="s">
        <v>19</v>
      </c>
      <c r="B42" s="9">
        <v>27393.96</v>
      </c>
      <c r="C42" s="8">
        <v>345</v>
      </c>
      <c r="D42" s="9">
        <f t="shared" si="9"/>
        <v>9450.9161999999997</v>
      </c>
      <c r="E42" s="9">
        <v>1848.4430322266508</v>
      </c>
      <c r="F42" s="8">
        <v>350</v>
      </c>
      <c r="G42" s="9">
        <f t="shared" si="1"/>
        <v>646.95506127932777</v>
      </c>
      <c r="H42" s="9">
        <v>1608.72</v>
      </c>
      <c r="I42" s="8">
        <v>320</v>
      </c>
      <c r="J42" s="9">
        <f t="shared" si="2"/>
        <v>514.79039999999998</v>
      </c>
      <c r="K42" s="9"/>
      <c r="L42" s="8">
        <v>0</v>
      </c>
      <c r="M42" s="9">
        <f>(K42*L42)/1000</f>
        <v>0</v>
      </c>
      <c r="N42" s="9"/>
      <c r="O42" s="8" t="s">
        <v>53</v>
      </c>
      <c r="P42" s="9"/>
      <c r="Q42" s="9">
        <f t="shared" si="5"/>
        <v>30851.123032226649</v>
      </c>
      <c r="R42" s="9">
        <f t="shared" si="6"/>
        <v>10612.661661279328</v>
      </c>
      <c r="T42" s="8">
        <v>300</v>
      </c>
      <c r="U42" s="39">
        <f t="shared" si="4"/>
        <v>345</v>
      </c>
    </row>
    <row r="43" spans="1:21" x14ac:dyDescent="0.35">
      <c r="A43" s="1" t="s">
        <v>28</v>
      </c>
      <c r="B43" s="9">
        <v>5743.013591555874</v>
      </c>
      <c r="C43" s="8">
        <v>920</v>
      </c>
      <c r="D43" s="9">
        <f t="shared" si="9"/>
        <v>5283.5725042314043</v>
      </c>
      <c r="E43" s="9">
        <v>20597.068726038</v>
      </c>
      <c r="F43" s="8">
        <v>1200</v>
      </c>
      <c r="G43" s="9">
        <f t="shared" si="1"/>
        <v>24716.482471245603</v>
      </c>
      <c r="H43" s="9">
        <v>22300.890974256712</v>
      </c>
      <c r="I43" s="8">
        <v>3900</v>
      </c>
      <c r="J43" s="9">
        <f t="shared" si="2"/>
        <v>86973.474799601187</v>
      </c>
      <c r="K43" s="9">
        <v>33713.555999999997</v>
      </c>
      <c r="L43" s="8">
        <v>2985.4446917435826</v>
      </c>
      <c r="M43" s="9">
        <v>100649.9568</v>
      </c>
      <c r="N43" s="9">
        <v>72.199834506172834</v>
      </c>
      <c r="O43" s="8">
        <v>700</v>
      </c>
      <c r="P43" s="9">
        <f>(N43*O43)/1000</f>
        <v>50.539884154320987</v>
      </c>
      <c r="Q43" s="9">
        <f t="shared" si="5"/>
        <v>82426.72912635676</v>
      </c>
      <c r="R43" s="9">
        <f t="shared" si="6"/>
        <v>217674.02645923253</v>
      </c>
      <c r="T43" s="8">
        <v>800</v>
      </c>
      <c r="U43" s="39">
        <f t="shared" si="4"/>
        <v>920</v>
      </c>
    </row>
    <row r="44" spans="1:21" x14ac:dyDescent="0.35">
      <c r="A44" s="1" t="s">
        <v>4</v>
      </c>
      <c r="B44" s="9">
        <v>627.6</v>
      </c>
      <c r="C44" s="8">
        <v>1092.5</v>
      </c>
      <c r="D44" s="9">
        <f t="shared" si="9"/>
        <v>685.65300000000002</v>
      </c>
      <c r="E44" s="9">
        <v>276.95308</v>
      </c>
      <c r="F44" s="8">
        <v>980</v>
      </c>
      <c r="G44" s="9">
        <f t="shared" si="1"/>
        <v>271.41401839999997</v>
      </c>
      <c r="H44" s="9">
        <v>998</v>
      </c>
      <c r="I44" s="8">
        <v>2950</v>
      </c>
      <c r="J44" s="9">
        <f t="shared" si="2"/>
        <v>2944.1</v>
      </c>
      <c r="K44" s="9">
        <v>16235.1</v>
      </c>
      <c r="L44" s="8">
        <v>2662.0876988746604</v>
      </c>
      <c r="M44" s="9">
        <v>43219.26</v>
      </c>
      <c r="N44" s="9"/>
      <c r="O44" s="8">
        <v>0</v>
      </c>
      <c r="P44" s="9"/>
      <c r="Q44" s="9">
        <f t="shared" si="5"/>
        <v>18137.653079999996</v>
      </c>
      <c r="R44" s="9">
        <f t="shared" si="6"/>
        <v>47120.427018399998</v>
      </c>
      <c r="T44" s="8">
        <v>950</v>
      </c>
      <c r="U44" s="39">
        <f t="shared" si="4"/>
        <v>1092.5</v>
      </c>
    </row>
    <row r="45" spans="1:21" x14ac:dyDescent="0.35">
      <c r="A45" s="1" t="s">
        <v>51</v>
      </c>
      <c r="B45" s="9"/>
      <c r="C45" s="8"/>
      <c r="D45" s="9"/>
      <c r="E45" s="9"/>
      <c r="F45" s="8"/>
      <c r="G45" s="9">
        <f t="shared" ref="G45:G50" si="11">(E45*F45)/1000</f>
        <v>0</v>
      </c>
      <c r="H45" s="9"/>
      <c r="I45" s="8"/>
      <c r="J45" s="9"/>
      <c r="K45" s="9">
        <v>12193</v>
      </c>
      <c r="L45" s="8">
        <v>5575</v>
      </c>
      <c r="M45" s="9">
        <v>67971.62</v>
      </c>
      <c r="N45" s="9"/>
      <c r="O45" s="8"/>
      <c r="P45" s="9"/>
      <c r="Q45" s="9">
        <f t="shared" ref="Q45:Q50" si="12">N45+K45+H45+E45+B45</f>
        <v>12193</v>
      </c>
      <c r="R45" s="9">
        <f t="shared" ref="R45:R50" si="13">P45+M45+J45+G45+D45</f>
        <v>67971.62</v>
      </c>
    </row>
    <row r="46" spans="1:21" x14ac:dyDescent="0.35">
      <c r="A46" s="1" t="s">
        <v>48</v>
      </c>
      <c r="B46" s="9"/>
      <c r="C46" s="8"/>
      <c r="D46" s="9"/>
      <c r="E46" s="9"/>
      <c r="F46" s="8"/>
      <c r="G46" s="9">
        <f t="shared" si="11"/>
        <v>0</v>
      </c>
      <c r="H46" s="9"/>
      <c r="I46" s="8"/>
      <c r="J46" s="9"/>
      <c r="K46" s="9">
        <v>45510</v>
      </c>
      <c r="L46" s="8">
        <v>6071</v>
      </c>
      <c r="M46" s="9">
        <v>276278.71999999997</v>
      </c>
      <c r="N46" s="9"/>
      <c r="O46" s="8"/>
      <c r="P46" s="9"/>
      <c r="Q46" s="9">
        <f t="shared" si="12"/>
        <v>45510</v>
      </c>
      <c r="R46" s="9">
        <f t="shared" si="13"/>
        <v>276278.71999999997</v>
      </c>
    </row>
    <row r="47" spans="1:21" x14ac:dyDescent="0.35">
      <c r="A47" s="1" t="s">
        <v>52</v>
      </c>
      <c r="B47" s="9"/>
      <c r="C47" s="8"/>
      <c r="D47" s="9"/>
      <c r="E47" s="9"/>
      <c r="F47" s="8"/>
      <c r="G47" s="9">
        <f t="shared" si="11"/>
        <v>0</v>
      </c>
      <c r="H47" s="9">
        <v>575</v>
      </c>
      <c r="I47" s="8">
        <v>2500</v>
      </c>
      <c r="J47" s="9">
        <f t="shared" ref="J47:J48" si="14">(H47*I47)/1000</f>
        <v>1437.5</v>
      </c>
      <c r="K47" s="9">
        <v>7708</v>
      </c>
      <c r="L47" s="8">
        <v>5987</v>
      </c>
      <c r="M47" s="9">
        <v>46146.720000000001</v>
      </c>
      <c r="N47" s="9"/>
      <c r="O47" s="8"/>
      <c r="P47" s="9"/>
      <c r="Q47" s="9">
        <f t="shared" si="12"/>
        <v>8283</v>
      </c>
      <c r="R47" s="9">
        <f t="shared" si="13"/>
        <v>47584.22</v>
      </c>
    </row>
    <row r="48" spans="1:21" x14ac:dyDescent="0.35">
      <c r="A48" s="1" t="s">
        <v>49</v>
      </c>
      <c r="B48" s="9"/>
      <c r="C48" s="8"/>
      <c r="D48" s="9"/>
      <c r="E48" s="9"/>
      <c r="F48" s="8"/>
      <c r="G48" s="9">
        <f t="shared" si="11"/>
        <v>0</v>
      </c>
      <c r="H48" s="9">
        <v>1600</v>
      </c>
      <c r="I48" s="8">
        <v>2500</v>
      </c>
      <c r="J48" s="9">
        <f t="shared" si="14"/>
        <v>4000</v>
      </c>
      <c r="K48" s="9">
        <v>197</v>
      </c>
      <c r="L48" s="8">
        <v>6102</v>
      </c>
      <c r="M48" s="9">
        <v>1202.1500000000001</v>
      </c>
      <c r="N48" s="9"/>
      <c r="O48" s="8"/>
      <c r="P48" s="9"/>
      <c r="Q48" s="9">
        <f t="shared" si="12"/>
        <v>1797</v>
      </c>
      <c r="R48" s="9">
        <f t="shared" si="13"/>
        <v>5202.1499999999996</v>
      </c>
    </row>
    <row r="49" spans="1:18" x14ac:dyDescent="0.35">
      <c r="A49" s="1" t="s">
        <v>50</v>
      </c>
      <c r="B49" s="9"/>
      <c r="C49" s="8"/>
      <c r="D49" s="9"/>
      <c r="E49" s="9"/>
      <c r="F49" s="8"/>
      <c r="G49" s="9">
        <f t="shared" si="11"/>
        <v>0</v>
      </c>
      <c r="H49" s="9"/>
      <c r="I49" s="8"/>
      <c r="J49" s="9"/>
      <c r="K49" s="9">
        <v>3998</v>
      </c>
      <c r="L49" s="8">
        <v>6633</v>
      </c>
      <c r="M49" s="9">
        <v>26520.57</v>
      </c>
      <c r="N49" s="9"/>
      <c r="O49" s="8"/>
      <c r="P49" s="9"/>
      <c r="Q49" s="9">
        <f t="shared" si="12"/>
        <v>3998</v>
      </c>
      <c r="R49" s="9">
        <f t="shared" si="13"/>
        <v>26520.57</v>
      </c>
    </row>
    <row r="50" spans="1:18" ht="15" thickBot="1" x14ac:dyDescent="0.4">
      <c r="A50" s="1" t="s">
        <v>72</v>
      </c>
      <c r="B50" s="9"/>
      <c r="C50" s="8"/>
      <c r="D50" s="9"/>
      <c r="E50" s="9"/>
      <c r="F50" s="8"/>
      <c r="G50" s="9">
        <f t="shared" si="11"/>
        <v>0</v>
      </c>
      <c r="H50" s="9"/>
      <c r="I50" s="8"/>
      <c r="J50" s="9"/>
      <c r="K50" s="9">
        <v>3982.5</v>
      </c>
      <c r="L50" s="8">
        <v>5600</v>
      </c>
      <c r="M50" s="9">
        <f>(K50*L50)/1000</f>
        <v>22302</v>
      </c>
      <c r="N50" s="9"/>
      <c r="O50" s="8"/>
      <c r="P50" s="9"/>
      <c r="Q50" s="9">
        <f t="shared" si="12"/>
        <v>3982.5</v>
      </c>
      <c r="R50" s="9">
        <f t="shared" si="13"/>
        <v>22302</v>
      </c>
    </row>
    <row r="51" spans="1:18" s="3" customFormat="1" ht="16.5" thickTop="1" thickBot="1" x14ac:dyDescent="0.4">
      <c r="A51" s="2" t="s">
        <v>63</v>
      </c>
      <c r="B51" s="10">
        <f>SUM(B3:B50)</f>
        <v>969692.91300369147</v>
      </c>
      <c r="C51" s="37">
        <f>(D51/B51)*1000</f>
        <v>1131.3202026935387</v>
      </c>
      <c r="D51" s="10">
        <f>SUM(D3:D50)</f>
        <v>1097033.1828898243</v>
      </c>
      <c r="E51" s="10">
        <f>SUM(E3:E50)</f>
        <v>270167.51702986518</v>
      </c>
      <c r="F51" s="37">
        <f>(G51/E51)*1000</f>
        <v>1344.2164564270138</v>
      </c>
      <c r="G51" s="10">
        <f>SUM(G3:G50)</f>
        <v>363163.6223835703</v>
      </c>
      <c r="H51" s="10">
        <f>SUM(H3:H50)</f>
        <v>277242.62273939763</v>
      </c>
      <c r="I51" s="37">
        <f>(J51/H51)*1000</f>
        <v>2841.3739164243743</v>
      </c>
      <c r="J51" s="10">
        <f>SUM(J3:J50)</f>
        <v>787749.95677280764</v>
      </c>
      <c r="K51" s="10">
        <f>SUM(K3:K50)</f>
        <v>372412.62475716369</v>
      </c>
      <c r="L51" s="37">
        <f>(M51/K51)*1000</f>
        <v>3783.75998099242</v>
      </c>
      <c r="M51" s="10">
        <f>SUM(M3:M50)</f>
        <v>1409119.985972503</v>
      </c>
      <c r="N51" s="10">
        <f>SUM(N3:N50)</f>
        <v>6893.7024545061731</v>
      </c>
      <c r="O51" s="37">
        <f>(P51/N51)*1000</f>
        <v>960.80042578930681</v>
      </c>
      <c r="P51" s="10">
        <f>SUM(P3:P50)</f>
        <v>6623.4722535543206</v>
      </c>
      <c r="Q51" s="11">
        <f>B51+E51+H51+K51+N51</f>
        <v>1896409.3799846242</v>
      </c>
      <c r="R51" s="11">
        <f>D51+G51+J51+M51+P51</f>
        <v>3663690.2202722598</v>
      </c>
    </row>
    <row r="52" spans="1:18" s="3" customFormat="1" ht="16.5" thickTop="1" thickBot="1" x14ac:dyDescent="0.4">
      <c r="A52" s="2" t="s">
        <v>42</v>
      </c>
      <c r="B52" s="10">
        <v>968218.46087835846</v>
      </c>
      <c r="C52" s="10">
        <v>1073.9928939741155</v>
      </c>
      <c r="D52" s="10">
        <v>1039859.7467979121</v>
      </c>
      <c r="E52" s="10">
        <v>265387.44688167202</v>
      </c>
      <c r="F52" s="10">
        <v>1328.1499950838083</v>
      </c>
      <c r="G52" s="10">
        <v>352474.33627119713</v>
      </c>
      <c r="H52" s="10">
        <v>284954.65875621705</v>
      </c>
      <c r="I52" s="10">
        <v>2648.2130566922488</v>
      </c>
      <c r="J52" s="10">
        <v>754620.64788349823</v>
      </c>
      <c r="K52" s="10">
        <v>380993.33803351945</v>
      </c>
      <c r="L52" s="10">
        <v>3482.3725449676335</v>
      </c>
      <c r="M52" s="10">
        <v>1326760.740183501</v>
      </c>
      <c r="N52" s="10">
        <v>6820.5026200000002</v>
      </c>
      <c r="O52" s="10">
        <v>979.12154339147514</v>
      </c>
      <c r="P52" s="10">
        <v>6678.101052</v>
      </c>
      <c r="Q52" s="11">
        <v>1906374.407169767</v>
      </c>
      <c r="R52" s="11">
        <v>3480393.5721881087</v>
      </c>
    </row>
    <row r="53" spans="1:18" ht="16.5" thickTop="1" thickBot="1" x14ac:dyDescent="0.4">
      <c r="A53" s="2" t="s">
        <v>55</v>
      </c>
      <c r="B53" s="10">
        <f>((B51-B52)/B52)*100</f>
        <v>0.1522850663263958</v>
      </c>
      <c r="C53" s="10">
        <f t="shared" ref="C53:R53" si="15">((C51-C52)/C52)*100</f>
        <v>5.3377735589379816</v>
      </c>
      <c r="D53" s="10">
        <f t="shared" si="15"/>
        <v>5.4981872572689738</v>
      </c>
      <c r="E53" s="10">
        <f t="shared" si="15"/>
        <v>1.8011666355584803</v>
      </c>
      <c r="F53" s="10">
        <f t="shared" si="15"/>
        <v>1.2096872644412144</v>
      </c>
      <c r="G53" s="10">
        <f t="shared" si="15"/>
        <v>3.0326423834014204</v>
      </c>
      <c r="H53" s="10">
        <f t="shared" si="15"/>
        <v>-2.7064081178673334</v>
      </c>
      <c r="I53" s="10">
        <f t="shared" si="15"/>
        <v>7.2940075287368762</v>
      </c>
      <c r="J53" s="10">
        <f t="shared" si="15"/>
        <v>4.3901937989939634</v>
      </c>
      <c r="K53" s="10">
        <f t="shared" si="15"/>
        <v>-2.2521950962829793</v>
      </c>
      <c r="L53" s="10">
        <f t="shared" si="15"/>
        <v>8.6546580566263813</v>
      </c>
      <c r="M53" s="10">
        <f t="shared" si="15"/>
        <v>6.2075431759920043</v>
      </c>
      <c r="N53" s="10">
        <f t="shared" si="15"/>
        <v>1.0732322613809497</v>
      </c>
      <c r="O53" s="10">
        <f t="shared" si="15"/>
        <v>-1.87117909168945</v>
      </c>
      <c r="P53" s="10">
        <f t="shared" si="15"/>
        <v>-0.81802892798872573</v>
      </c>
      <c r="Q53" s="10">
        <f t="shared" si="15"/>
        <v>-0.52272141021537177</v>
      </c>
      <c r="R53" s="10">
        <f t="shared" si="15"/>
        <v>5.2665494370774075</v>
      </c>
    </row>
    <row r="54" spans="1:18" ht="16.5" thickTop="1" thickBot="1" x14ac:dyDescent="0.4">
      <c r="A54" s="2" t="s">
        <v>56</v>
      </c>
      <c r="B54" s="10">
        <v>948538.57332733436</v>
      </c>
      <c r="C54" s="10">
        <v>929.18604652130796</v>
      </c>
      <c r="D54" s="10">
        <v>875238.62000273948</v>
      </c>
      <c r="E54" s="10">
        <v>250265.45939447064</v>
      </c>
      <c r="F54" s="10">
        <v>1207.4534572882958</v>
      </c>
      <c r="G54" s="10">
        <v>302183.89418569719</v>
      </c>
      <c r="H54" s="10">
        <v>262574.57857289916</v>
      </c>
      <c r="I54" s="10">
        <v>2241.8357960849671</v>
      </c>
      <c r="J54" s="10">
        <v>588649.08938665024</v>
      </c>
      <c r="K54" s="10">
        <v>350293.22564669541</v>
      </c>
      <c r="L54" s="10">
        <v>3425.5819160175674</v>
      </c>
      <c r="M54" s="10">
        <v>1199958.139078781</v>
      </c>
      <c r="N54" s="10">
        <v>5824.6337370973251</v>
      </c>
      <c r="O54" s="10">
        <v>905.41725418872977</v>
      </c>
      <c r="P54" s="10">
        <v>5273.7238848976995</v>
      </c>
      <c r="Q54" s="9">
        <f>B54+E54+H54+K54+N54</f>
        <v>1817496.4706784966</v>
      </c>
      <c r="R54" s="9">
        <f>D54+G54+J54+M54+P54</f>
        <v>2971303.4665387659</v>
      </c>
    </row>
    <row r="55" spans="1:18" ht="16.5" thickTop="1" thickBot="1" x14ac:dyDescent="0.4">
      <c r="A55" s="2" t="s">
        <v>57</v>
      </c>
      <c r="B55" s="10">
        <f>((B51-B54)/B54)*100</f>
        <v>2.2302034172580649</v>
      </c>
      <c r="C55" s="10">
        <f t="shared" ref="C55:R55" si="16">((C51-C54)/C54)*100</f>
        <v>21.753894920073517</v>
      </c>
      <c r="D55" s="10">
        <f t="shared" si="16"/>
        <v>25.341039325525944</v>
      </c>
      <c r="E55" s="10">
        <f t="shared" si="16"/>
        <v>7.9523789193876464</v>
      </c>
      <c r="F55" s="10">
        <f t="shared" si="16"/>
        <v>11.326564871979491</v>
      </c>
      <c r="G55" s="10">
        <f t="shared" si="16"/>
        <v>20.179675148537207</v>
      </c>
      <c r="H55" s="10">
        <f t="shared" si="16"/>
        <v>5.586239249138182</v>
      </c>
      <c r="I55" s="10">
        <f t="shared" si="16"/>
        <v>26.743177238333487</v>
      </c>
      <c r="J55" s="10">
        <f t="shared" si="16"/>
        <v>33.823354350826037</v>
      </c>
      <c r="K55" s="10">
        <f t="shared" si="16"/>
        <v>6.3145380758170386</v>
      </c>
      <c r="L55" s="10">
        <f t="shared" si="16"/>
        <v>10.455977225360146</v>
      </c>
      <c r="M55" s="10">
        <f t="shared" si="16"/>
        <v>17.430761964271309</v>
      </c>
      <c r="N55" s="10">
        <f t="shared" si="16"/>
        <v>18.354265103398802</v>
      </c>
      <c r="O55" s="10">
        <f t="shared" si="16"/>
        <v>6.1168672614043968</v>
      </c>
      <c r="P55" s="10">
        <f t="shared" si="16"/>
        <v>25.593838397984381</v>
      </c>
      <c r="Q55" s="10">
        <f t="shared" si="16"/>
        <v>4.3418466323991423</v>
      </c>
      <c r="R55" s="10">
        <f t="shared" si="16"/>
        <v>23.302458383358818</v>
      </c>
    </row>
    <row r="56" spans="1:18" ht="16" thickTop="1" x14ac:dyDescent="0.35">
      <c r="A56" s="4" t="s">
        <v>61</v>
      </c>
      <c r="B56" s="1"/>
    </row>
  </sheetData>
  <mergeCells count="6">
    <mergeCell ref="Q1:R1"/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0"/>
  <sheetViews>
    <sheetView zoomScale="115" zoomScaleNormal="115" workbookViewId="0">
      <pane xSplit="1" ySplit="2" topLeftCell="L33" activePane="bottomRight" state="frozen"/>
      <selection pane="topRight" activeCell="B1" sqref="B1"/>
      <selection pane="bottomLeft" activeCell="A3" sqref="A3"/>
      <selection pane="bottomRight" activeCell="A45" sqref="A45:XFD45"/>
    </sheetView>
  </sheetViews>
  <sheetFormatPr baseColWidth="10" defaultRowHeight="14.5" x14ac:dyDescent="0.35"/>
  <cols>
    <col min="1" max="1" width="35.81640625" customWidth="1"/>
    <col min="2" max="2" width="13.26953125" bestFit="1" customWidth="1"/>
    <col min="3" max="3" width="14.81640625" customWidth="1"/>
    <col min="4" max="4" width="13.7265625" bestFit="1" customWidth="1"/>
    <col min="13" max="13" width="13.26953125" bestFit="1" customWidth="1"/>
    <col min="16" max="16" width="13.26953125" bestFit="1" customWidth="1"/>
  </cols>
  <sheetData>
    <row r="1" spans="1:19" ht="16.5" thickTop="1" thickBot="1" x14ac:dyDescent="0.4">
      <c r="A1" s="1"/>
      <c r="B1" s="47" t="s">
        <v>64</v>
      </c>
      <c r="C1" s="45"/>
      <c r="D1" s="48"/>
      <c r="E1" s="47" t="s">
        <v>65</v>
      </c>
      <c r="F1" s="45"/>
      <c r="G1" s="45"/>
      <c r="H1" s="40" t="s">
        <v>66</v>
      </c>
      <c r="I1" s="41"/>
      <c r="J1" s="46"/>
      <c r="K1" s="45" t="s">
        <v>67</v>
      </c>
      <c r="L1" s="45"/>
      <c r="M1" s="45"/>
      <c r="N1" s="40" t="s">
        <v>68</v>
      </c>
      <c r="O1" s="41"/>
      <c r="P1" s="46"/>
      <c r="Q1" s="40" t="s">
        <v>69</v>
      </c>
      <c r="R1" s="41"/>
      <c r="S1" s="46"/>
    </row>
    <row r="2" spans="1:19" ht="15.75" customHeight="1" thickTop="1" thickBot="1" x14ac:dyDescent="0.4">
      <c r="A2" s="12" t="s">
        <v>0</v>
      </c>
      <c r="B2" s="13" t="s">
        <v>58</v>
      </c>
      <c r="C2" s="7" t="s">
        <v>60</v>
      </c>
      <c r="D2" s="6" t="s">
        <v>59</v>
      </c>
      <c r="E2" s="13" t="s">
        <v>58</v>
      </c>
      <c r="F2" s="7" t="s">
        <v>60</v>
      </c>
      <c r="G2" s="6" t="s">
        <v>59</v>
      </c>
      <c r="H2" s="13" t="s">
        <v>58</v>
      </c>
      <c r="I2" s="7" t="s">
        <v>60</v>
      </c>
      <c r="J2" s="6" t="s">
        <v>59</v>
      </c>
      <c r="K2" s="13" t="s">
        <v>58</v>
      </c>
      <c r="L2" s="7" t="s">
        <v>60</v>
      </c>
      <c r="M2" s="6" t="s">
        <v>59</v>
      </c>
      <c r="N2" s="13" t="s">
        <v>58</v>
      </c>
      <c r="O2" s="7" t="s">
        <v>60</v>
      </c>
      <c r="P2" s="14" t="s">
        <v>59</v>
      </c>
      <c r="Q2" s="13" t="s">
        <v>58</v>
      </c>
      <c r="R2" s="7" t="s">
        <v>60</v>
      </c>
      <c r="S2" s="6" t="s">
        <v>59</v>
      </c>
    </row>
    <row r="3" spans="1:19" ht="15" thickTop="1" x14ac:dyDescent="0.35">
      <c r="A3" s="15" t="s">
        <v>11</v>
      </c>
      <c r="B3" s="16">
        <v>664.22709999999995</v>
      </c>
      <c r="C3" s="8">
        <v>2650</v>
      </c>
      <c r="D3" s="17">
        <f t="shared" ref="D3:D44" si="0">(B3*C3)/1000</f>
        <v>1760.2018149999999</v>
      </c>
      <c r="E3" s="16"/>
      <c r="F3" s="18"/>
      <c r="G3" s="17"/>
      <c r="H3" s="19">
        <v>263</v>
      </c>
      <c r="I3" s="20">
        <v>700</v>
      </c>
      <c r="J3" s="19">
        <f t="shared" ref="J3:J44" si="1">(H3*I3)/1000</f>
        <v>184.1</v>
      </c>
      <c r="K3" s="16"/>
      <c r="L3" s="20"/>
      <c r="M3" s="21"/>
      <c r="N3" s="16">
        <v>609</v>
      </c>
      <c r="O3" s="20">
        <v>14000</v>
      </c>
      <c r="P3" s="9">
        <f t="shared" ref="P3:P44" si="2">(N3*O3)/1000</f>
        <v>8526</v>
      </c>
      <c r="Q3" s="22">
        <v>144.72670523950001</v>
      </c>
      <c r="R3" s="20">
        <v>750</v>
      </c>
      <c r="S3" s="17">
        <f t="shared" ref="S3:S44" si="3">(Q3*R3)/1000</f>
        <v>108.54502892962499</v>
      </c>
    </row>
    <row r="4" spans="1:19" x14ac:dyDescent="0.35">
      <c r="A4" s="15" t="s">
        <v>5</v>
      </c>
      <c r="B4" s="16">
        <v>21517.46057557817</v>
      </c>
      <c r="C4" s="8">
        <v>700</v>
      </c>
      <c r="D4" s="17">
        <f t="shared" si="0"/>
        <v>15062.222402904719</v>
      </c>
      <c r="E4" s="16"/>
      <c r="F4" s="23"/>
      <c r="G4" s="17"/>
      <c r="H4" s="9">
        <v>13176.360064402726</v>
      </c>
      <c r="I4" s="8">
        <v>500</v>
      </c>
      <c r="J4" s="9">
        <f t="shared" si="1"/>
        <v>6588.1800322013642</v>
      </c>
      <c r="K4" s="16">
        <v>3561.1</v>
      </c>
      <c r="L4" s="8">
        <v>8500</v>
      </c>
      <c r="M4" s="17">
        <f t="shared" ref="M4:M44" si="4">(K4*L4)/1000</f>
        <v>30269.35</v>
      </c>
      <c r="N4" s="16">
        <v>4342</v>
      </c>
      <c r="O4" s="8">
        <v>14000</v>
      </c>
      <c r="P4" s="9">
        <f t="shared" si="2"/>
        <v>60788</v>
      </c>
      <c r="Q4" s="22">
        <v>570.61298865437652</v>
      </c>
      <c r="R4" s="8">
        <v>450</v>
      </c>
      <c r="S4" s="17">
        <f t="shared" si="3"/>
        <v>256.7758448944694</v>
      </c>
    </row>
    <row r="5" spans="1:19" x14ac:dyDescent="0.35">
      <c r="A5" s="15" t="s">
        <v>2</v>
      </c>
      <c r="B5" s="16">
        <v>25231.14</v>
      </c>
      <c r="C5" s="8">
        <v>1300</v>
      </c>
      <c r="D5" s="17">
        <f t="shared" si="0"/>
        <v>32800.482000000004</v>
      </c>
      <c r="E5" s="16"/>
      <c r="F5" s="23"/>
      <c r="G5" s="17"/>
      <c r="H5" s="9">
        <v>738.88613531199996</v>
      </c>
      <c r="I5" s="8">
        <v>500</v>
      </c>
      <c r="J5" s="9">
        <f t="shared" si="1"/>
        <v>369.44306765599998</v>
      </c>
      <c r="K5" s="16">
        <v>1016.5392229384827</v>
      </c>
      <c r="L5" s="8">
        <v>12500</v>
      </c>
      <c r="M5" s="17">
        <f t="shared" si="4"/>
        <v>12706.740286731032</v>
      </c>
      <c r="N5" s="16">
        <v>2024.7372923039998</v>
      </c>
      <c r="O5" s="8">
        <v>15940</v>
      </c>
      <c r="P5" s="9">
        <f t="shared" si="2"/>
        <v>32274.312439325757</v>
      </c>
      <c r="Q5" s="22">
        <v>326.10000000000002</v>
      </c>
      <c r="R5" s="8">
        <v>637.5</v>
      </c>
      <c r="S5" s="17">
        <f t="shared" si="3"/>
        <v>207.88874999999999</v>
      </c>
    </row>
    <row r="6" spans="1:19" x14ac:dyDescent="0.35">
      <c r="A6" s="15" t="s">
        <v>32</v>
      </c>
      <c r="B6" s="16">
        <v>49145.496999999996</v>
      </c>
      <c r="C6" s="8">
        <v>1300</v>
      </c>
      <c r="D6" s="17">
        <f t="shared" si="0"/>
        <v>63889.146099999991</v>
      </c>
      <c r="E6" s="16"/>
      <c r="F6" s="23"/>
      <c r="G6" s="17"/>
      <c r="H6" s="9">
        <v>176.00470400185117</v>
      </c>
      <c r="I6" s="8">
        <v>750</v>
      </c>
      <c r="J6" s="9">
        <f t="shared" si="1"/>
        <v>132.00352800138839</v>
      </c>
      <c r="K6" s="16">
        <v>169.76208509574599</v>
      </c>
      <c r="L6" s="8">
        <v>13000</v>
      </c>
      <c r="M6" s="17">
        <f t="shared" si="4"/>
        <v>2206.9071062446978</v>
      </c>
      <c r="N6" s="16">
        <v>3066.6827999035809</v>
      </c>
      <c r="O6" s="8">
        <v>20000</v>
      </c>
      <c r="P6" s="9">
        <f t="shared" si="2"/>
        <v>61333.655998071619</v>
      </c>
      <c r="Q6" s="22">
        <v>2375</v>
      </c>
      <c r="R6" s="8">
        <v>700</v>
      </c>
      <c r="S6" s="17">
        <f t="shared" si="3"/>
        <v>1662.5</v>
      </c>
    </row>
    <row r="7" spans="1:19" x14ac:dyDescent="0.35">
      <c r="A7" s="15" t="s">
        <v>39</v>
      </c>
      <c r="B7" s="16">
        <v>20432.911438927898</v>
      </c>
      <c r="C7" s="8">
        <v>2300</v>
      </c>
      <c r="D7" s="17">
        <f t="shared" si="0"/>
        <v>46995.696309534171</v>
      </c>
      <c r="E7" s="16"/>
      <c r="F7" s="23"/>
      <c r="G7" s="17"/>
      <c r="H7" s="9">
        <v>509.56530699228341</v>
      </c>
      <c r="I7" s="8">
        <v>1000</v>
      </c>
      <c r="J7" s="9">
        <f t="shared" si="1"/>
        <v>509.56530699228335</v>
      </c>
      <c r="K7" s="16">
        <v>132</v>
      </c>
      <c r="L7" s="8">
        <v>17200</v>
      </c>
      <c r="M7" s="17">
        <f t="shared" si="4"/>
        <v>2270.4</v>
      </c>
      <c r="N7" s="16">
        <v>318.74709999999999</v>
      </c>
      <c r="O7" s="8">
        <v>21080</v>
      </c>
      <c r="P7" s="9">
        <f t="shared" si="2"/>
        <v>6719.1888680000002</v>
      </c>
      <c r="Q7" s="22">
        <v>1484.1745999999998</v>
      </c>
      <c r="R7" s="8">
        <v>1120</v>
      </c>
      <c r="S7" s="17">
        <f t="shared" si="3"/>
        <v>1662.2755519999998</v>
      </c>
    </row>
    <row r="8" spans="1:19" x14ac:dyDescent="0.35">
      <c r="A8" s="15" t="s">
        <v>8</v>
      </c>
      <c r="B8" s="16">
        <v>6748.1413682762941</v>
      </c>
      <c r="C8" s="8">
        <v>400</v>
      </c>
      <c r="D8" s="17">
        <f t="shared" si="0"/>
        <v>2699.2565473105178</v>
      </c>
      <c r="E8" s="16"/>
      <c r="F8" s="23"/>
      <c r="G8" s="17"/>
      <c r="H8" s="9">
        <v>1200</v>
      </c>
      <c r="I8" s="8">
        <v>350</v>
      </c>
      <c r="J8" s="9">
        <f t="shared" si="1"/>
        <v>420</v>
      </c>
      <c r="K8" s="16">
        <v>1394.6078853805714</v>
      </c>
      <c r="L8" s="8">
        <v>30000</v>
      </c>
      <c r="M8" s="17">
        <f t="shared" si="4"/>
        <v>41838.236561417143</v>
      </c>
      <c r="N8" s="16">
        <v>1508</v>
      </c>
      <c r="O8" s="8">
        <v>18500</v>
      </c>
      <c r="P8" s="9">
        <f t="shared" si="2"/>
        <v>27898</v>
      </c>
      <c r="Q8" s="22"/>
      <c r="R8" s="8">
        <v>0</v>
      </c>
      <c r="S8" s="17">
        <f t="shared" si="3"/>
        <v>0</v>
      </c>
    </row>
    <row r="9" spans="1:19" x14ac:dyDescent="0.35">
      <c r="A9" s="15" t="s">
        <v>6</v>
      </c>
      <c r="B9" s="16">
        <v>14931.264784478335</v>
      </c>
      <c r="C9" s="8">
        <v>850</v>
      </c>
      <c r="D9" s="17">
        <f t="shared" si="0"/>
        <v>12691.575066806585</v>
      </c>
      <c r="E9" s="16"/>
      <c r="F9" s="23"/>
      <c r="G9" s="17"/>
      <c r="H9" s="9">
        <v>7633.5910000000003</v>
      </c>
      <c r="I9" s="8">
        <v>650</v>
      </c>
      <c r="J9" s="9">
        <f t="shared" si="1"/>
        <v>4961.8341500000006</v>
      </c>
      <c r="K9" s="16">
        <v>4550</v>
      </c>
      <c r="L9" s="8">
        <v>10000</v>
      </c>
      <c r="M9" s="17">
        <f t="shared" si="4"/>
        <v>45500</v>
      </c>
      <c r="N9" s="16">
        <v>5336</v>
      </c>
      <c r="O9" s="8">
        <v>15000</v>
      </c>
      <c r="P9" s="9">
        <f t="shared" si="2"/>
        <v>80040</v>
      </c>
      <c r="Q9" s="22">
        <v>448.18688185373475</v>
      </c>
      <c r="R9" s="8">
        <v>450</v>
      </c>
      <c r="S9" s="17">
        <f t="shared" si="3"/>
        <v>201.68409683418065</v>
      </c>
    </row>
    <row r="10" spans="1:19" x14ac:dyDescent="0.35">
      <c r="A10" s="15" t="s">
        <v>23</v>
      </c>
      <c r="B10" s="16">
        <v>53316.860248462101</v>
      </c>
      <c r="C10" s="8">
        <v>1200</v>
      </c>
      <c r="D10" s="17">
        <f t="shared" si="0"/>
        <v>63980.232298154515</v>
      </c>
      <c r="E10" s="16"/>
      <c r="F10" s="23"/>
      <c r="G10" s="17"/>
      <c r="H10" s="9">
        <v>7410</v>
      </c>
      <c r="I10" s="8">
        <v>600</v>
      </c>
      <c r="J10" s="9">
        <f t="shared" si="1"/>
        <v>4446</v>
      </c>
      <c r="K10" s="16">
        <v>2163.6242521607319</v>
      </c>
      <c r="L10" s="8">
        <v>10000</v>
      </c>
      <c r="M10" s="17">
        <f t="shared" si="4"/>
        <v>21636.242521607317</v>
      </c>
      <c r="N10" s="16">
        <v>1322.6300676358637</v>
      </c>
      <c r="O10" s="8">
        <v>14000</v>
      </c>
      <c r="P10" s="9">
        <f t="shared" si="2"/>
        <v>18516.820946902091</v>
      </c>
      <c r="Q10" s="22">
        <v>1518.5</v>
      </c>
      <c r="R10" s="8">
        <v>500</v>
      </c>
      <c r="S10" s="17">
        <f t="shared" si="3"/>
        <v>759.25</v>
      </c>
    </row>
    <row r="11" spans="1:19" x14ac:dyDescent="0.35">
      <c r="A11" s="15" t="s">
        <v>24</v>
      </c>
      <c r="B11" s="16">
        <v>64413.711387877949</v>
      </c>
      <c r="C11" s="8">
        <v>1250</v>
      </c>
      <c r="D11" s="17">
        <f t="shared" si="0"/>
        <v>80517.139234847447</v>
      </c>
      <c r="E11" s="16"/>
      <c r="F11" s="23"/>
      <c r="G11" s="17"/>
      <c r="H11" s="9">
        <v>7315</v>
      </c>
      <c r="I11" s="8">
        <v>700</v>
      </c>
      <c r="J11" s="9">
        <f t="shared" si="1"/>
        <v>5120.5</v>
      </c>
      <c r="K11" s="16">
        <v>1501</v>
      </c>
      <c r="L11" s="8">
        <v>9800</v>
      </c>
      <c r="M11" s="17">
        <f t="shared" si="4"/>
        <v>14709.8</v>
      </c>
      <c r="N11" s="16">
        <v>2876.8670000000002</v>
      </c>
      <c r="O11" s="8">
        <v>12000</v>
      </c>
      <c r="P11" s="9">
        <f t="shared" si="2"/>
        <v>34522.404000000002</v>
      </c>
      <c r="Q11" s="22">
        <v>557.22</v>
      </c>
      <c r="R11" s="8">
        <v>600</v>
      </c>
      <c r="S11" s="17">
        <f t="shared" si="3"/>
        <v>334.33199999999999</v>
      </c>
    </row>
    <row r="12" spans="1:19" x14ac:dyDescent="0.35">
      <c r="A12" s="15" t="s">
        <v>25</v>
      </c>
      <c r="B12" s="16">
        <v>67665.764306806348</v>
      </c>
      <c r="C12" s="8">
        <v>1100</v>
      </c>
      <c r="D12" s="17">
        <f t="shared" si="0"/>
        <v>74432.340737486986</v>
      </c>
      <c r="E12" s="16"/>
      <c r="F12" s="23"/>
      <c r="G12" s="17"/>
      <c r="H12" s="9">
        <v>8288.9351176046221</v>
      </c>
      <c r="I12" s="8">
        <v>599.79999999999995</v>
      </c>
      <c r="J12" s="9">
        <f t="shared" si="1"/>
        <v>4971.703283539252</v>
      </c>
      <c r="K12" s="16">
        <v>1110</v>
      </c>
      <c r="L12" s="8">
        <v>10000</v>
      </c>
      <c r="M12" s="17">
        <f t="shared" si="4"/>
        <v>11100</v>
      </c>
      <c r="N12" s="16">
        <v>3017</v>
      </c>
      <c r="O12" s="8">
        <v>14000</v>
      </c>
      <c r="P12" s="9">
        <f t="shared" si="2"/>
        <v>42238</v>
      </c>
      <c r="Q12" s="22">
        <v>1528.67666832398</v>
      </c>
      <c r="R12" s="8">
        <v>536.79999999999995</v>
      </c>
      <c r="S12" s="17">
        <f t="shared" si="3"/>
        <v>820.59363555631239</v>
      </c>
    </row>
    <row r="13" spans="1:19" x14ac:dyDescent="0.35">
      <c r="A13" s="15" t="s">
        <v>12</v>
      </c>
      <c r="B13" s="16">
        <v>10629.596709769829</v>
      </c>
      <c r="C13" s="8">
        <v>1473</v>
      </c>
      <c r="D13" s="17">
        <f t="shared" si="0"/>
        <v>15657.395953490957</v>
      </c>
      <c r="E13" s="16"/>
      <c r="F13" s="23"/>
      <c r="G13" s="17"/>
      <c r="H13" s="9">
        <v>370.25</v>
      </c>
      <c r="I13" s="8">
        <v>887</v>
      </c>
      <c r="J13" s="9">
        <f t="shared" si="1"/>
        <v>328.41174999999998</v>
      </c>
      <c r="K13" s="16"/>
      <c r="L13" s="8"/>
      <c r="M13" s="17">
        <f t="shared" si="4"/>
        <v>0</v>
      </c>
      <c r="N13" s="16">
        <v>861</v>
      </c>
      <c r="O13" s="8">
        <v>13780</v>
      </c>
      <c r="P13" s="9">
        <f t="shared" si="2"/>
        <v>11864.58</v>
      </c>
      <c r="Q13" s="22">
        <v>2954.2962873923102</v>
      </c>
      <c r="R13" s="8">
        <v>1552</v>
      </c>
      <c r="S13" s="17">
        <f t="shared" si="3"/>
        <v>4585.0678380328663</v>
      </c>
    </row>
    <row r="14" spans="1:19" x14ac:dyDescent="0.35">
      <c r="A14" s="15" t="s">
        <v>40</v>
      </c>
      <c r="B14" s="16">
        <v>19232.012095399801</v>
      </c>
      <c r="C14" s="8">
        <v>1600</v>
      </c>
      <c r="D14" s="17">
        <f t="shared" si="0"/>
        <v>30771.219352639684</v>
      </c>
      <c r="E14" s="16"/>
      <c r="F14" s="23"/>
      <c r="G14" s="17"/>
      <c r="H14" s="9">
        <v>782.24850875446998</v>
      </c>
      <c r="I14" s="8">
        <v>880</v>
      </c>
      <c r="J14" s="9">
        <f t="shared" si="1"/>
        <v>688.37868770393356</v>
      </c>
      <c r="K14" s="16">
        <v>257.59105500279907</v>
      </c>
      <c r="L14" s="8">
        <v>13000</v>
      </c>
      <c r="M14" s="17">
        <f t="shared" si="4"/>
        <v>3348.6837150363881</v>
      </c>
      <c r="N14" s="16">
        <v>578.04148178101775</v>
      </c>
      <c r="O14" s="8">
        <v>16000</v>
      </c>
      <c r="P14" s="9">
        <f t="shared" si="2"/>
        <v>9248.663708496284</v>
      </c>
      <c r="Q14" s="22">
        <v>1478.8591869946213</v>
      </c>
      <c r="R14" s="8">
        <v>1000</v>
      </c>
      <c r="S14" s="17">
        <f t="shared" si="3"/>
        <v>1478.8591869946213</v>
      </c>
    </row>
    <row r="15" spans="1:19" x14ac:dyDescent="0.35">
      <c r="A15" s="15" t="s">
        <v>14</v>
      </c>
      <c r="B15" s="16">
        <v>30086.236904930593</v>
      </c>
      <c r="C15" s="8">
        <v>1050</v>
      </c>
      <c r="D15" s="17">
        <f t="shared" si="0"/>
        <v>31590.548750177124</v>
      </c>
      <c r="E15" s="16"/>
      <c r="F15" s="23"/>
      <c r="G15" s="17"/>
      <c r="H15" s="9">
        <v>739.46624232606644</v>
      </c>
      <c r="I15" s="8">
        <v>800</v>
      </c>
      <c r="J15" s="9">
        <f t="shared" si="1"/>
        <v>591.5729938608531</v>
      </c>
      <c r="K15" s="16">
        <v>2559</v>
      </c>
      <c r="L15" s="8">
        <v>17500</v>
      </c>
      <c r="M15" s="17">
        <f t="shared" si="4"/>
        <v>44782.5</v>
      </c>
      <c r="N15" s="16">
        <v>1798.7814824930385</v>
      </c>
      <c r="O15" s="8">
        <v>24500</v>
      </c>
      <c r="P15" s="9">
        <f t="shared" si="2"/>
        <v>44070.146321079446</v>
      </c>
      <c r="Q15" s="22">
        <v>498.01605986490449</v>
      </c>
      <c r="R15" s="8">
        <v>300</v>
      </c>
      <c r="S15" s="17">
        <f t="shared" si="3"/>
        <v>149.40481795947133</v>
      </c>
    </row>
    <row r="16" spans="1:19" x14ac:dyDescent="0.35">
      <c r="A16" s="15" t="s">
        <v>33</v>
      </c>
      <c r="B16" s="16">
        <v>55219.53</v>
      </c>
      <c r="C16" s="8">
        <v>1200</v>
      </c>
      <c r="D16" s="17">
        <f t="shared" si="0"/>
        <v>66263.436000000002</v>
      </c>
      <c r="E16" s="16"/>
      <c r="F16" s="23"/>
      <c r="G16" s="17"/>
      <c r="H16" s="9">
        <v>1463.0376561388443</v>
      </c>
      <c r="I16" s="8">
        <v>700</v>
      </c>
      <c r="J16" s="9">
        <f t="shared" si="1"/>
        <v>1024.1263592971911</v>
      </c>
      <c r="K16" s="16">
        <v>247.74542470680109</v>
      </c>
      <c r="L16" s="8">
        <v>9000</v>
      </c>
      <c r="M16" s="17">
        <f t="shared" si="4"/>
        <v>2229.70882236121</v>
      </c>
      <c r="N16" s="16">
        <v>3816.3050348108109</v>
      </c>
      <c r="O16" s="8">
        <v>25000</v>
      </c>
      <c r="P16" s="9">
        <f t="shared" si="2"/>
        <v>95407.625870270262</v>
      </c>
      <c r="Q16" s="22">
        <v>18447.022577477601</v>
      </c>
      <c r="R16" s="8">
        <v>900</v>
      </c>
      <c r="S16" s="17">
        <f t="shared" si="3"/>
        <v>16602.320319729839</v>
      </c>
    </row>
    <row r="17" spans="1:19" x14ac:dyDescent="0.35">
      <c r="A17" s="15" t="s">
        <v>29</v>
      </c>
      <c r="B17" s="16">
        <v>1165.7855547904878</v>
      </c>
      <c r="C17" s="8">
        <v>800</v>
      </c>
      <c r="D17" s="17">
        <f t="shared" si="0"/>
        <v>932.62844383239019</v>
      </c>
      <c r="E17" s="16"/>
      <c r="F17" s="23"/>
      <c r="G17" s="17"/>
      <c r="H17" s="9">
        <v>475.04314900226757</v>
      </c>
      <c r="I17" s="8">
        <v>350</v>
      </c>
      <c r="J17" s="9">
        <f t="shared" si="1"/>
        <v>166.26510215079367</v>
      </c>
      <c r="K17" s="16">
        <v>150</v>
      </c>
      <c r="L17" s="8">
        <v>10000</v>
      </c>
      <c r="M17" s="17">
        <f t="shared" si="4"/>
        <v>1500</v>
      </c>
      <c r="N17" s="16">
        <v>220.83009999999999</v>
      </c>
      <c r="O17" s="8">
        <v>7000</v>
      </c>
      <c r="P17" s="9">
        <f t="shared" si="2"/>
        <v>1545.8107</v>
      </c>
      <c r="Q17" s="22"/>
      <c r="R17" s="8">
        <v>0</v>
      </c>
      <c r="S17" s="17">
        <f t="shared" si="3"/>
        <v>0</v>
      </c>
    </row>
    <row r="18" spans="1:19" x14ac:dyDescent="0.35">
      <c r="A18" s="15" t="s">
        <v>15</v>
      </c>
      <c r="B18" s="16">
        <v>48502.107326973302</v>
      </c>
      <c r="C18" s="8">
        <v>1100</v>
      </c>
      <c r="D18" s="17">
        <f t="shared" si="0"/>
        <v>53352.318059670637</v>
      </c>
      <c r="E18" s="16"/>
      <c r="F18" s="23"/>
      <c r="G18" s="17"/>
      <c r="H18" s="9">
        <v>945</v>
      </c>
      <c r="I18" s="8">
        <v>650</v>
      </c>
      <c r="J18" s="9">
        <f t="shared" si="1"/>
        <v>614.25</v>
      </c>
      <c r="K18" s="16">
        <v>1678</v>
      </c>
      <c r="L18" s="8">
        <v>15000</v>
      </c>
      <c r="M18" s="17">
        <f t="shared" si="4"/>
        <v>25170</v>
      </c>
      <c r="N18" s="16">
        <v>7707.1292542303054</v>
      </c>
      <c r="O18" s="8">
        <v>25000</v>
      </c>
      <c r="P18" s="9">
        <f t="shared" si="2"/>
        <v>192678.23135575763</v>
      </c>
      <c r="Q18" s="22">
        <v>455.83600424909048</v>
      </c>
      <c r="R18" s="8">
        <v>600</v>
      </c>
      <c r="S18" s="17">
        <f t="shared" si="3"/>
        <v>273.50160254945433</v>
      </c>
    </row>
    <row r="19" spans="1:19" x14ac:dyDescent="0.35">
      <c r="A19" s="15" t="s">
        <v>20</v>
      </c>
      <c r="B19" s="16">
        <v>34174.270204226785</v>
      </c>
      <c r="C19" s="8">
        <v>625</v>
      </c>
      <c r="D19" s="17">
        <f t="shared" si="0"/>
        <v>21358.91887764174</v>
      </c>
      <c r="E19" s="16"/>
      <c r="F19" s="23"/>
      <c r="G19" s="17"/>
      <c r="H19" s="9">
        <v>36885.686348550349</v>
      </c>
      <c r="I19" s="8">
        <v>500</v>
      </c>
      <c r="J19" s="9">
        <f t="shared" si="1"/>
        <v>18442.843174275175</v>
      </c>
      <c r="K19" s="16">
        <v>4370.8092229384829</v>
      </c>
      <c r="L19" s="8">
        <v>12000</v>
      </c>
      <c r="M19" s="17">
        <f t="shared" si="4"/>
        <v>52449.710675261798</v>
      </c>
      <c r="N19" s="16">
        <v>5014</v>
      </c>
      <c r="O19" s="8">
        <v>10000</v>
      </c>
      <c r="P19" s="9">
        <f t="shared" si="2"/>
        <v>50140</v>
      </c>
      <c r="Q19" s="22">
        <v>21</v>
      </c>
      <c r="R19" s="8">
        <v>536</v>
      </c>
      <c r="S19" s="17">
        <f t="shared" si="3"/>
        <v>11.256</v>
      </c>
    </row>
    <row r="20" spans="1:19" x14ac:dyDescent="0.35">
      <c r="A20" s="15" t="s">
        <v>36</v>
      </c>
      <c r="B20" s="16">
        <v>5540.6498788329964</v>
      </c>
      <c r="C20" s="8">
        <v>2500</v>
      </c>
      <c r="D20" s="17">
        <f t="shared" si="0"/>
        <v>13851.624697082492</v>
      </c>
      <c r="E20" s="16"/>
      <c r="F20" s="23"/>
      <c r="G20" s="17"/>
      <c r="H20" s="9">
        <v>0</v>
      </c>
      <c r="I20" s="8">
        <v>0</v>
      </c>
      <c r="J20" s="9">
        <f t="shared" si="1"/>
        <v>0</v>
      </c>
      <c r="K20" s="16">
        <v>66.333333333333329</v>
      </c>
      <c r="L20" s="8">
        <v>18000</v>
      </c>
      <c r="M20" s="17">
        <f t="shared" si="4"/>
        <v>1194</v>
      </c>
      <c r="N20" s="16"/>
      <c r="O20" s="8">
        <v>0</v>
      </c>
      <c r="P20" s="9">
        <f t="shared" si="2"/>
        <v>0</v>
      </c>
      <c r="Q20" s="22"/>
      <c r="R20" s="8">
        <v>0</v>
      </c>
      <c r="S20" s="17">
        <f t="shared" si="3"/>
        <v>0</v>
      </c>
    </row>
    <row r="21" spans="1:19" x14ac:dyDescent="0.35">
      <c r="A21" s="15" t="s">
        <v>26</v>
      </c>
      <c r="B21" s="16">
        <v>35050.15</v>
      </c>
      <c r="C21" s="8">
        <v>2600</v>
      </c>
      <c r="D21" s="17">
        <f t="shared" si="0"/>
        <v>91130.39</v>
      </c>
      <c r="E21" s="16"/>
      <c r="F21" s="23"/>
      <c r="G21" s="17"/>
      <c r="H21" s="9">
        <v>610.25699508342427</v>
      </c>
      <c r="I21" s="8">
        <v>900</v>
      </c>
      <c r="J21" s="9">
        <f t="shared" si="1"/>
        <v>549.23129557508184</v>
      </c>
      <c r="K21" s="16">
        <v>356.9</v>
      </c>
      <c r="L21" s="8">
        <v>10000</v>
      </c>
      <c r="M21" s="17">
        <f t="shared" si="4"/>
        <v>3569</v>
      </c>
      <c r="N21" s="16">
        <v>404.21271503924027</v>
      </c>
      <c r="O21" s="8">
        <v>16000</v>
      </c>
      <c r="P21" s="9">
        <f t="shared" si="2"/>
        <v>6467.4034406278442</v>
      </c>
      <c r="Q21" s="22">
        <v>906.30150000000003</v>
      </c>
      <c r="R21" s="8">
        <v>850</v>
      </c>
      <c r="S21" s="17">
        <f t="shared" si="3"/>
        <v>770.35627499999998</v>
      </c>
    </row>
    <row r="22" spans="1:19" x14ac:dyDescent="0.35">
      <c r="A22" s="15" t="s">
        <v>34</v>
      </c>
      <c r="B22" s="16">
        <v>59858.012503063801</v>
      </c>
      <c r="C22" s="8">
        <v>1300</v>
      </c>
      <c r="D22" s="17">
        <f t="shared" si="0"/>
        <v>77815.416253982941</v>
      </c>
      <c r="E22" s="16"/>
      <c r="F22" s="23"/>
      <c r="G22" s="24"/>
      <c r="H22" s="9">
        <v>474.84521653185595</v>
      </c>
      <c r="I22" s="8">
        <v>1050</v>
      </c>
      <c r="J22" s="9">
        <f t="shared" si="1"/>
        <v>498.58747735844872</v>
      </c>
      <c r="K22" s="16">
        <v>87.7</v>
      </c>
      <c r="L22" s="8">
        <v>15000</v>
      </c>
      <c r="M22" s="17">
        <f t="shared" si="4"/>
        <v>1315.5</v>
      </c>
      <c r="N22" s="16">
        <v>1123</v>
      </c>
      <c r="O22" s="8">
        <v>43000</v>
      </c>
      <c r="P22" s="9">
        <f t="shared" si="2"/>
        <v>48289</v>
      </c>
      <c r="Q22" s="22">
        <v>2443.252</v>
      </c>
      <c r="R22" s="8">
        <v>950</v>
      </c>
      <c r="S22" s="17">
        <f t="shared" si="3"/>
        <v>2321.0893999999998</v>
      </c>
    </row>
    <row r="23" spans="1:19" x14ac:dyDescent="0.35">
      <c r="A23" s="15" t="s">
        <v>71</v>
      </c>
      <c r="B23" s="16">
        <v>43972.759333491427</v>
      </c>
      <c r="C23" s="8">
        <v>1200</v>
      </c>
      <c r="D23" s="17">
        <f t="shared" si="0"/>
        <v>52767.31120018971</v>
      </c>
      <c r="E23" s="16"/>
      <c r="F23" s="23"/>
      <c r="G23" s="17"/>
      <c r="H23" s="9">
        <v>583</v>
      </c>
      <c r="I23" s="8">
        <v>958</v>
      </c>
      <c r="J23" s="9">
        <f t="shared" si="1"/>
        <v>558.51400000000001</v>
      </c>
      <c r="K23" s="16">
        <v>397.2445046495551</v>
      </c>
      <c r="L23" s="8">
        <v>12706.72242</v>
      </c>
      <c r="M23" s="17">
        <f t="shared" si="4"/>
        <v>5047.6756534522956</v>
      </c>
      <c r="N23" s="16">
        <v>726</v>
      </c>
      <c r="O23" s="8">
        <v>12919.5</v>
      </c>
      <c r="P23" s="9">
        <f t="shared" si="2"/>
        <v>9379.5570000000007</v>
      </c>
      <c r="Q23" s="22">
        <v>1782.4962873923055</v>
      </c>
      <c r="R23" s="8">
        <v>726.8</v>
      </c>
      <c r="S23" s="17">
        <f t="shared" si="3"/>
        <v>1295.5183016767276</v>
      </c>
    </row>
    <row r="24" spans="1:19" x14ac:dyDescent="0.35">
      <c r="A24" s="15" t="s">
        <v>21</v>
      </c>
      <c r="B24" s="16">
        <v>38708.123220474328</v>
      </c>
      <c r="C24" s="8">
        <v>600</v>
      </c>
      <c r="D24" s="17">
        <f t="shared" si="0"/>
        <v>23224.873932284598</v>
      </c>
      <c r="E24" s="16"/>
      <c r="F24" s="23"/>
      <c r="G24" s="17"/>
      <c r="H24" s="9">
        <v>37778.172178398032</v>
      </c>
      <c r="I24" s="8">
        <v>300</v>
      </c>
      <c r="J24" s="9">
        <f t="shared" si="1"/>
        <v>11333.451653519409</v>
      </c>
      <c r="K24" s="16">
        <v>702</v>
      </c>
      <c r="L24" s="8">
        <v>10000</v>
      </c>
      <c r="M24" s="17">
        <f t="shared" si="4"/>
        <v>7020</v>
      </c>
      <c r="N24" s="16">
        <v>10820.633880419011</v>
      </c>
      <c r="O24" s="8">
        <v>12000</v>
      </c>
      <c r="P24" s="9">
        <f t="shared" si="2"/>
        <v>129847.60656502814</v>
      </c>
      <c r="Q24" s="22">
        <v>28.75</v>
      </c>
      <c r="R24" s="8">
        <v>566.5</v>
      </c>
      <c r="S24" s="17">
        <f t="shared" si="3"/>
        <v>16.286874999999998</v>
      </c>
    </row>
    <row r="25" spans="1:19" x14ac:dyDescent="0.35">
      <c r="A25" s="15" t="s">
        <v>22</v>
      </c>
      <c r="B25" s="16">
        <v>53225.177553588037</v>
      </c>
      <c r="C25" s="8">
        <v>580</v>
      </c>
      <c r="D25" s="17">
        <f t="shared" si="0"/>
        <v>30870.602981081061</v>
      </c>
      <c r="E25" s="16"/>
      <c r="F25" s="23"/>
      <c r="G25" s="17"/>
      <c r="H25" s="9">
        <v>80573.600000000006</v>
      </c>
      <c r="I25" s="8">
        <v>500</v>
      </c>
      <c r="J25" s="9">
        <f t="shared" si="1"/>
        <v>40286.800000000003</v>
      </c>
      <c r="K25" s="16">
        <v>987</v>
      </c>
      <c r="L25" s="8">
        <v>11000</v>
      </c>
      <c r="M25" s="17">
        <f t="shared" si="4"/>
        <v>10857</v>
      </c>
      <c r="N25" s="16">
        <v>5450.9250000000002</v>
      </c>
      <c r="O25" s="8">
        <v>11600</v>
      </c>
      <c r="P25" s="9">
        <f t="shared" si="2"/>
        <v>63230.73</v>
      </c>
      <c r="Q25" s="22"/>
      <c r="R25" s="8">
        <v>480</v>
      </c>
      <c r="S25" s="17">
        <f t="shared" si="3"/>
        <v>0</v>
      </c>
    </row>
    <row r="26" spans="1:19" x14ac:dyDescent="0.35">
      <c r="A26" s="15" t="s">
        <v>35</v>
      </c>
      <c r="B26" s="16">
        <v>64144.637636922533</v>
      </c>
      <c r="C26" s="8">
        <v>1500</v>
      </c>
      <c r="D26" s="17">
        <f t="shared" si="0"/>
        <v>96216.956455383799</v>
      </c>
      <c r="E26" s="16"/>
      <c r="F26" s="23"/>
      <c r="G26" s="17"/>
      <c r="H26" s="9">
        <v>553.79750000000001</v>
      </c>
      <c r="I26" s="8">
        <v>656.4375</v>
      </c>
      <c r="J26" s="9">
        <f t="shared" si="1"/>
        <v>363.53344640624999</v>
      </c>
      <c r="K26" s="16">
        <v>15.935296249999999</v>
      </c>
      <c r="L26" s="8">
        <v>9944.9592499999999</v>
      </c>
      <c r="M26" s="17">
        <f t="shared" si="4"/>
        <v>158.4758718429278</v>
      </c>
      <c r="N26" s="16">
        <v>876</v>
      </c>
      <c r="O26" s="8">
        <v>35000</v>
      </c>
      <c r="P26" s="9">
        <f t="shared" si="2"/>
        <v>30660</v>
      </c>
      <c r="Q26" s="22">
        <v>1238.4123340407641</v>
      </c>
      <c r="R26" s="8">
        <v>697.6</v>
      </c>
      <c r="S26" s="17">
        <f t="shared" si="3"/>
        <v>863.91644422683703</v>
      </c>
    </row>
    <row r="27" spans="1:19" x14ac:dyDescent="0.35">
      <c r="A27" s="15" t="s">
        <v>30</v>
      </c>
      <c r="B27" s="16">
        <v>321.85660842775661</v>
      </c>
      <c r="C27" s="8">
        <v>700</v>
      </c>
      <c r="D27" s="17">
        <f t="shared" si="0"/>
        <v>225.29962589942963</v>
      </c>
      <c r="E27" s="16"/>
      <c r="F27" s="23"/>
      <c r="G27" s="17"/>
      <c r="H27" s="9">
        <v>7104.4582507617424</v>
      </c>
      <c r="I27" s="8">
        <v>450</v>
      </c>
      <c r="J27" s="9">
        <f t="shared" si="1"/>
        <v>3197.006212842784</v>
      </c>
      <c r="K27" s="16">
        <v>113</v>
      </c>
      <c r="L27" s="8">
        <v>11000</v>
      </c>
      <c r="M27" s="17">
        <f t="shared" si="4"/>
        <v>1243</v>
      </c>
      <c r="N27" s="16">
        <v>1698.6851879945511</v>
      </c>
      <c r="O27" s="8">
        <v>6000</v>
      </c>
      <c r="P27" s="9">
        <f t="shared" si="2"/>
        <v>10192.111127967308</v>
      </c>
      <c r="Q27" s="22"/>
      <c r="R27" s="8">
        <v>0</v>
      </c>
      <c r="S27" s="17">
        <f t="shared" si="3"/>
        <v>0</v>
      </c>
    </row>
    <row r="28" spans="1:19" x14ac:dyDescent="0.35">
      <c r="A28" s="15" t="s">
        <v>7</v>
      </c>
      <c r="B28" s="16">
        <v>31772.93493435291</v>
      </c>
      <c r="C28" s="8">
        <v>850</v>
      </c>
      <c r="D28" s="17">
        <f t="shared" si="0"/>
        <v>27006.994694199973</v>
      </c>
      <c r="E28" s="16"/>
      <c r="F28" s="23"/>
      <c r="G28" s="17"/>
      <c r="H28" s="9">
        <v>7191.913663437268</v>
      </c>
      <c r="I28" s="8">
        <v>619.4</v>
      </c>
      <c r="J28" s="9">
        <f t="shared" si="1"/>
        <v>4454.6713231330441</v>
      </c>
      <c r="K28" s="16">
        <v>4800</v>
      </c>
      <c r="L28" s="8">
        <v>7989.5339599999998</v>
      </c>
      <c r="M28" s="17">
        <f t="shared" si="4"/>
        <v>38349.763008000002</v>
      </c>
      <c r="N28" s="16">
        <v>2259.6151995355326</v>
      </c>
      <c r="O28" s="8">
        <v>12000</v>
      </c>
      <c r="P28" s="9">
        <f t="shared" si="2"/>
        <v>27115.38239442639</v>
      </c>
      <c r="Q28" s="22">
        <v>423.24269230769232</v>
      </c>
      <c r="R28" s="8">
        <v>457.8</v>
      </c>
      <c r="S28" s="17">
        <f t="shared" si="3"/>
        <v>193.76050453846153</v>
      </c>
    </row>
    <row r="29" spans="1:19" x14ac:dyDescent="0.35">
      <c r="A29" s="15" t="s">
        <v>17</v>
      </c>
      <c r="B29" s="16">
        <v>21549.15</v>
      </c>
      <c r="C29" s="8">
        <v>1000</v>
      </c>
      <c r="D29" s="17">
        <f t="shared" si="0"/>
        <v>21549.15</v>
      </c>
      <c r="E29" s="16"/>
      <c r="F29" s="23"/>
      <c r="G29" s="17"/>
      <c r="H29" s="9">
        <v>15750</v>
      </c>
      <c r="I29" s="8">
        <v>850</v>
      </c>
      <c r="J29" s="9">
        <f t="shared" si="1"/>
        <v>13387.5</v>
      </c>
      <c r="K29" s="16">
        <v>7815.8</v>
      </c>
      <c r="L29" s="8">
        <v>11800</v>
      </c>
      <c r="M29" s="17">
        <f t="shared" si="4"/>
        <v>92226.44</v>
      </c>
      <c r="N29" s="16">
        <v>1109.201344034879</v>
      </c>
      <c r="O29" s="8">
        <v>13000</v>
      </c>
      <c r="P29" s="9">
        <f t="shared" si="2"/>
        <v>14419.617472453427</v>
      </c>
      <c r="Q29" s="22">
        <v>50.75</v>
      </c>
      <c r="R29" s="8">
        <v>585</v>
      </c>
      <c r="S29" s="17">
        <f t="shared" si="3"/>
        <v>29.688749999999999</v>
      </c>
    </row>
    <row r="30" spans="1:19" x14ac:dyDescent="0.35">
      <c r="A30" s="15" t="s">
        <v>27</v>
      </c>
      <c r="B30" s="16">
        <v>47992.637976516831</v>
      </c>
      <c r="C30" s="8">
        <v>2000</v>
      </c>
      <c r="D30" s="17">
        <f t="shared" si="0"/>
        <v>95985.275953033663</v>
      </c>
      <c r="E30" s="16"/>
      <c r="F30" s="23"/>
      <c r="G30" s="17"/>
      <c r="H30" s="9">
        <v>665.40690689655173</v>
      </c>
      <c r="I30" s="8">
        <v>300</v>
      </c>
      <c r="J30" s="9">
        <f t="shared" si="1"/>
        <v>199.62207206896554</v>
      </c>
      <c r="K30" s="16">
        <v>586.15050186643441</v>
      </c>
      <c r="L30" s="8">
        <v>12000</v>
      </c>
      <c r="M30" s="17">
        <f t="shared" si="4"/>
        <v>7033.8060223972125</v>
      </c>
      <c r="N30" s="16">
        <v>37.34375</v>
      </c>
      <c r="O30" s="8">
        <v>15000</v>
      </c>
      <c r="P30" s="9">
        <f t="shared" si="2"/>
        <v>560.15625</v>
      </c>
      <c r="Q30" s="22">
        <v>1098.173309913793</v>
      </c>
      <c r="R30" s="8">
        <v>900</v>
      </c>
      <c r="S30" s="17">
        <f t="shared" si="3"/>
        <v>988.35597892241367</v>
      </c>
    </row>
    <row r="31" spans="1:19" x14ac:dyDescent="0.35">
      <c r="A31" s="15" t="s">
        <v>16</v>
      </c>
      <c r="B31" s="16">
        <v>90074.645792736963</v>
      </c>
      <c r="C31" s="8">
        <v>1200</v>
      </c>
      <c r="D31" s="17">
        <f t="shared" si="0"/>
        <v>108089.57495128435</v>
      </c>
      <c r="E31" s="16"/>
      <c r="F31" s="23"/>
      <c r="G31" s="17"/>
      <c r="H31" s="9">
        <v>1050</v>
      </c>
      <c r="I31" s="8">
        <v>689.8</v>
      </c>
      <c r="J31" s="9">
        <f t="shared" si="1"/>
        <v>724.29</v>
      </c>
      <c r="K31" s="16">
        <v>2889.6853705915673</v>
      </c>
      <c r="L31" s="8">
        <v>21539.442999999999</v>
      </c>
      <c r="M31" s="17">
        <f t="shared" si="4"/>
        <v>62242.213327790938</v>
      </c>
      <c r="N31" s="16">
        <v>5131</v>
      </c>
      <c r="O31" s="8">
        <v>29500</v>
      </c>
      <c r="P31" s="9">
        <f t="shared" si="2"/>
        <v>151364.5</v>
      </c>
      <c r="Q31" s="22">
        <v>531.10104176095888</v>
      </c>
      <c r="R31" s="8">
        <v>662.5</v>
      </c>
      <c r="S31" s="17">
        <f t="shared" si="3"/>
        <v>351.85444016663524</v>
      </c>
    </row>
    <row r="32" spans="1:19" x14ac:dyDescent="0.35">
      <c r="A32" s="15" t="s">
        <v>3</v>
      </c>
      <c r="B32" s="16">
        <v>1975.4208261911785</v>
      </c>
      <c r="C32" s="8">
        <v>900</v>
      </c>
      <c r="D32" s="17">
        <f t="shared" si="0"/>
        <v>1777.8787435720608</v>
      </c>
      <c r="E32" s="16"/>
      <c r="F32" s="23"/>
      <c r="G32" s="17"/>
      <c r="H32" s="9">
        <v>551.11518886607132</v>
      </c>
      <c r="I32" s="8">
        <v>400</v>
      </c>
      <c r="J32" s="9">
        <f t="shared" si="1"/>
        <v>220.44607554642855</v>
      </c>
      <c r="K32" s="16">
        <v>236.8</v>
      </c>
      <c r="L32" s="8">
        <v>8300</v>
      </c>
      <c r="M32" s="17">
        <f t="shared" si="4"/>
        <v>1965.44</v>
      </c>
      <c r="N32" s="16">
        <v>2988.3281814102565</v>
      </c>
      <c r="O32" s="8">
        <v>11300</v>
      </c>
      <c r="P32" s="9">
        <f t="shared" si="2"/>
        <v>33768.108449935899</v>
      </c>
      <c r="Q32" s="22">
        <v>255.2</v>
      </c>
      <c r="R32" s="8">
        <v>573.20000000000005</v>
      </c>
      <c r="S32" s="17">
        <f t="shared" si="3"/>
        <v>146.28064000000001</v>
      </c>
    </row>
    <row r="33" spans="1:19" x14ac:dyDescent="0.35">
      <c r="A33" s="15" t="s">
        <v>9</v>
      </c>
      <c r="B33" s="16">
        <v>4825</v>
      </c>
      <c r="C33" s="8">
        <v>455</v>
      </c>
      <c r="D33" s="17">
        <f t="shared" si="0"/>
        <v>2195.375</v>
      </c>
      <c r="E33" s="16"/>
      <c r="F33" s="23"/>
      <c r="G33" s="17"/>
      <c r="H33" s="9">
        <v>3400</v>
      </c>
      <c r="I33" s="8">
        <v>450</v>
      </c>
      <c r="J33" s="9">
        <f t="shared" si="1"/>
        <v>1530</v>
      </c>
      <c r="K33" s="16">
        <v>250</v>
      </c>
      <c r="L33" s="8">
        <v>30000</v>
      </c>
      <c r="M33" s="17">
        <f t="shared" si="4"/>
        <v>7500</v>
      </c>
      <c r="N33" s="16">
        <v>900</v>
      </c>
      <c r="O33" s="8">
        <v>18500</v>
      </c>
      <c r="P33" s="9">
        <f t="shared" si="2"/>
        <v>16650</v>
      </c>
      <c r="Q33" s="22"/>
      <c r="R33" s="8">
        <v>0</v>
      </c>
      <c r="S33" s="17">
        <f t="shared" si="3"/>
        <v>0</v>
      </c>
    </row>
    <row r="34" spans="1:19" x14ac:dyDescent="0.35">
      <c r="A34" s="15" t="s">
        <v>31</v>
      </c>
      <c r="B34" s="16">
        <v>1819.1578226560421</v>
      </c>
      <c r="C34" s="8">
        <v>1200</v>
      </c>
      <c r="D34" s="17">
        <f t="shared" si="0"/>
        <v>2182.9893871872505</v>
      </c>
      <c r="E34" s="16"/>
      <c r="F34" s="23"/>
      <c r="G34" s="17"/>
      <c r="H34" s="9">
        <v>128.61384023703701</v>
      </c>
      <c r="I34" s="8">
        <v>350</v>
      </c>
      <c r="J34" s="9">
        <f t="shared" si="1"/>
        <v>45.014844082962952</v>
      </c>
      <c r="K34" s="16">
        <v>60</v>
      </c>
      <c r="L34" s="8">
        <v>11000</v>
      </c>
      <c r="M34" s="17">
        <f t="shared" si="4"/>
        <v>660</v>
      </c>
      <c r="N34" s="16">
        <v>110</v>
      </c>
      <c r="O34" s="8">
        <v>11875</v>
      </c>
      <c r="P34" s="9">
        <f t="shared" si="2"/>
        <v>1306.25</v>
      </c>
      <c r="Q34" s="22"/>
      <c r="R34" s="8">
        <v>0</v>
      </c>
      <c r="S34" s="17">
        <f t="shared" si="3"/>
        <v>0</v>
      </c>
    </row>
    <row r="35" spans="1:19" x14ac:dyDescent="0.35">
      <c r="A35" s="15" t="s">
        <v>1</v>
      </c>
      <c r="B35" s="16">
        <v>1204</v>
      </c>
      <c r="C35" s="8">
        <v>550</v>
      </c>
      <c r="D35" s="17">
        <f t="shared" si="0"/>
        <v>662.2</v>
      </c>
      <c r="E35" s="16"/>
      <c r="F35" s="23"/>
      <c r="G35" s="17"/>
      <c r="H35" s="9">
        <v>200.74559095833337</v>
      </c>
      <c r="I35" s="8">
        <v>125</v>
      </c>
      <c r="J35" s="9">
        <f t="shared" si="1"/>
        <v>25.093198869791671</v>
      </c>
      <c r="K35" s="16">
        <v>462.62140672624463</v>
      </c>
      <c r="L35" s="8">
        <v>7000</v>
      </c>
      <c r="M35" s="17">
        <f t="shared" si="4"/>
        <v>3238.3498470837126</v>
      </c>
      <c r="N35" s="16">
        <v>144.51731365740741</v>
      </c>
      <c r="O35" s="8">
        <v>13475</v>
      </c>
      <c r="P35" s="9">
        <f t="shared" si="2"/>
        <v>1947.3708015335649</v>
      </c>
      <c r="Q35" s="22"/>
      <c r="R35" s="8">
        <v>0</v>
      </c>
      <c r="S35" s="17">
        <f t="shared" si="3"/>
        <v>0</v>
      </c>
    </row>
    <row r="36" spans="1:19" x14ac:dyDescent="0.35">
      <c r="A36" s="15" t="s">
        <v>10</v>
      </c>
      <c r="B36" s="16">
        <v>1512.6616666666666</v>
      </c>
      <c r="C36" s="8">
        <v>100</v>
      </c>
      <c r="D36" s="17">
        <f t="shared" si="0"/>
        <v>151.26616666666666</v>
      </c>
      <c r="E36" s="16"/>
      <c r="F36" s="23"/>
      <c r="G36" s="17"/>
      <c r="H36" s="9">
        <v>3239.256019715293</v>
      </c>
      <c r="I36" s="8">
        <v>250</v>
      </c>
      <c r="J36" s="9">
        <f t="shared" si="1"/>
        <v>809.81400492882324</v>
      </c>
      <c r="K36" s="16">
        <v>210</v>
      </c>
      <c r="L36" s="8">
        <v>15000</v>
      </c>
      <c r="M36" s="17">
        <f t="shared" si="4"/>
        <v>3150</v>
      </c>
      <c r="N36" s="16">
        <v>1154.9207932223094</v>
      </c>
      <c r="O36" s="8">
        <v>6000</v>
      </c>
      <c r="P36" s="9">
        <f t="shared" si="2"/>
        <v>6929.5247593338563</v>
      </c>
      <c r="Q36" s="22"/>
      <c r="R36" s="8">
        <v>0</v>
      </c>
      <c r="S36" s="17">
        <f t="shared" si="3"/>
        <v>0</v>
      </c>
    </row>
    <row r="37" spans="1:19" x14ac:dyDescent="0.35">
      <c r="A37" s="15" t="s">
        <v>37</v>
      </c>
      <c r="B37" s="16">
        <v>1227.2412002975202</v>
      </c>
      <c r="C37" s="8">
        <v>942</v>
      </c>
      <c r="D37" s="17">
        <f t="shared" si="0"/>
        <v>1156.0612106802641</v>
      </c>
      <c r="E37" s="16"/>
      <c r="F37" s="23"/>
      <c r="G37" s="17"/>
      <c r="H37" s="9"/>
      <c r="I37" s="8">
        <v>0</v>
      </c>
      <c r="J37" s="9">
        <f t="shared" si="1"/>
        <v>0</v>
      </c>
      <c r="K37" s="16">
        <v>132</v>
      </c>
      <c r="L37" s="8">
        <v>18000</v>
      </c>
      <c r="M37" s="17">
        <f t="shared" si="4"/>
        <v>2376</v>
      </c>
      <c r="N37" s="16"/>
      <c r="O37" s="8">
        <v>0</v>
      </c>
      <c r="P37" s="9">
        <f t="shared" si="2"/>
        <v>0</v>
      </c>
      <c r="Q37" s="22"/>
      <c r="R37" s="8">
        <v>0</v>
      </c>
      <c r="S37" s="17">
        <f t="shared" si="3"/>
        <v>0</v>
      </c>
    </row>
    <row r="38" spans="1:19" x14ac:dyDescent="0.35">
      <c r="A38" s="15" t="s">
        <v>38</v>
      </c>
      <c r="B38" s="16">
        <v>5136.4156415659763</v>
      </c>
      <c r="C38" s="8">
        <v>1075</v>
      </c>
      <c r="D38" s="17">
        <f t="shared" si="0"/>
        <v>5521.6468146834241</v>
      </c>
      <c r="E38" s="16"/>
      <c r="F38" s="23"/>
      <c r="G38" s="17"/>
      <c r="H38" s="9">
        <v>654.16570557712976</v>
      </c>
      <c r="I38" s="8">
        <v>950</v>
      </c>
      <c r="J38" s="9">
        <f t="shared" si="1"/>
        <v>621.45742029827329</v>
      </c>
      <c r="K38" s="16">
        <v>50</v>
      </c>
      <c r="L38" s="8">
        <v>18000</v>
      </c>
      <c r="M38" s="17">
        <f t="shared" si="4"/>
        <v>900</v>
      </c>
      <c r="N38" s="16"/>
      <c r="O38" s="8">
        <v>0</v>
      </c>
      <c r="P38" s="9">
        <f t="shared" si="2"/>
        <v>0</v>
      </c>
      <c r="Q38" s="22"/>
      <c r="R38" s="8">
        <v>0</v>
      </c>
      <c r="S38" s="17">
        <f t="shared" si="3"/>
        <v>0</v>
      </c>
    </row>
    <row r="39" spans="1:19" x14ac:dyDescent="0.35">
      <c r="A39" s="15" t="s">
        <v>41</v>
      </c>
      <c r="B39" s="16">
        <v>19044.57</v>
      </c>
      <c r="C39" s="8">
        <v>2000</v>
      </c>
      <c r="D39" s="17">
        <f t="shared" si="0"/>
        <v>38089.14</v>
      </c>
      <c r="E39" s="16"/>
      <c r="F39" s="23"/>
      <c r="G39" s="17"/>
      <c r="H39" s="9">
        <v>887.54303145333404</v>
      </c>
      <c r="I39" s="8">
        <v>2000</v>
      </c>
      <c r="J39" s="9">
        <f t="shared" si="1"/>
        <v>1775.0860629066681</v>
      </c>
      <c r="K39" s="16">
        <v>267.46486371636377</v>
      </c>
      <c r="L39" s="8">
        <v>20000</v>
      </c>
      <c r="M39" s="17">
        <f t="shared" si="4"/>
        <v>5349.2972743272758</v>
      </c>
      <c r="N39" s="16">
        <v>604.723436845283</v>
      </c>
      <c r="O39" s="8">
        <v>20000</v>
      </c>
      <c r="P39" s="9">
        <f t="shared" si="2"/>
        <v>12094.468736905661</v>
      </c>
      <c r="Q39" s="22">
        <v>1125.0642495079289</v>
      </c>
      <c r="R39" s="8">
        <v>2000</v>
      </c>
      <c r="S39" s="17">
        <f t="shared" si="3"/>
        <v>2250.1284990158579</v>
      </c>
    </row>
    <row r="40" spans="1:19" x14ac:dyDescent="0.35">
      <c r="A40" s="15" t="s">
        <v>13</v>
      </c>
      <c r="B40" s="16">
        <v>60782.442634131563</v>
      </c>
      <c r="C40" s="8">
        <v>1250</v>
      </c>
      <c r="D40" s="17">
        <f t="shared" si="0"/>
        <v>75978.053292664452</v>
      </c>
      <c r="E40" s="16"/>
      <c r="F40" s="23"/>
      <c r="G40" s="17"/>
      <c r="H40" s="9">
        <v>3579.2752401077851</v>
      </c>
      <c r="I40" s="8">
        <v>1250</v>
      </c>
      <c r="J40" s="9">
        <f t="shared" si="1"/>
        <v>4474.0940501347313</v>
      </c>
      <c r="K40" s="16">
        <v>60</v>
      </c>
      <c r="L40" s="8">
        <v>13894.6078</v>
      </c>
      <c r="M40" s="17">
        <f t="shared" si="4"/>
        <v>833.676468</v>
      </c>
      <c r="N40" s="16">
        <v>2826.0440639399276</v>
      </c>
      <c r="O40" s="8">
        <v>20000</v>
      </c>
      <c r="P40" s="9">
        <f t="shared" si="2"/>
        <v>56520.881278798552</v>
      </c>
      <c r="Q40" s="22">
        <v>311.76</v>
      </c>
      <c r="R40" s="8">
        <v>850</v>
      </c>
      <c r="S40" s="17">
        <f t="shared" si="3"/>
        <v>264.99599999999998</v>
      </c>
    </row>
    <row r="41" spans="1:19" x14ac:dyDescent="0.35">
      <c r="A41" s="15" t="s">
        <v>18</v>
      </c>
      <c r="B41" s="16">
        <v>23593.25</v>
      </c>
      <c r="C41" s="8">
        <v>900</v>
      </c>
      <c r="D41" s="17">
        <f t="shared" si="0"/>
        <v>21233.924999999999</v>
      </c>
      <c r="E41" s="16"/>
      <c r="F41" s="23"/>
      <c r="G41" s="17"/>
      <c r="H41" s="9">
        <v>19950</v>
      </c>
      <c r="I41" s="8">
        <v>450</v>
      </c>
      <c r="J41" s="9">
        <f t="shared" si="1"/>
        <v>8977.5</v>
      </c>
      <c r="K41" s="16">
        <v>13113</v>
      </c>
      <c r="L41" s="8">
        <v>14000</v>
      </c>
      <c r="M41" s="17">
        <f t="shared" si="4"/>
        <v>183582</v>
      </c>
      <c r="N41" s="16">
        <v>809.72836102820065</v>
      </c>
      <c r="O41" s="8">
        <v>11500</v>
      </c>
      <c r="P41" s="9">
        <f t="shared" si="2"/>
        <v>9311.8761518243064</v>
      </c>
      <c r="Q41" s="22">
        <v>50.125</v>
      </c>
      <c r="R41" s="8">
        <v>551.75</v>
      </c>
      <c r="S41" s="17">
        <f t="shared" si="3"/>
        <v>27.656468749999998</v>
      </c>
    </row>
    <row r="42" spans="1:19" x14ac:dyDescent="0.35">
      <c r="A42" s="15" t="s">
        <v>19</v>
      </c>
      <c r="B42" s="16">
        <v>40812.651778012529</v>
      </c>
      <c r="C42" s="8">
        <v>800</v>
      </c>
      <c r="D42" s="17">
        <f t="shared" si="0"/>
        <v>32650.121422410022</v>
      </c>
      <c r="E42" s="16"/>
      <c r="F42" s="23"/>
      <c r="G42" s="17"/>
      <c r="H42" s="9">
        <v>19959.03</v>
      </c>
      <c r="I42" s="8">
        <v>400</v>
      </c>
      <c r="J42" s="9">
        <f t="shared" si="1"/>
        <v>7983.6120000000001</v>
      </c>
      <c r="K42" s="16">
        <v>37922.800000000003</v>
      </c>
      <c r="L42" s="8">
        <v>15000</v>
      </c>
      <c r="M42" s="17">
        <f t="shared" si="4"/>
        <v>568842</v>
      </c>
      <c r="N42" s="16">
        <v>1345.5</v>
      </c>
      <c r="O42" s="8">
        <v>12000</v>
      </c>
      <c r="P42" s="9">
        <f t="shared" si="2"/>
        <v>16146</v>
      </c>
      <c r="Q42" s="22">
        <v>106</v>
      </c>
      <c r="R42" s="8">
        <v>558.33333333333337</v>
      </c>
      <c r="S42" s="17">
        <f t="shared" si="3"/>
        <v>59.183333333333337</v>
      </c>
    </row>
    <row r="43" spans="1:19" x14ac:dyDescent="0.35">
      <c r="A43" s="15" t="s">
        <v>28</v>
      </c>
      <c r="B43" s="16">
        <v>43145.015136287941</v>
      </c>
      <c r="C43" s="8">
        <v>1400</v>
      </c>
      <c r="D43" s="17">
        <f t="shared" si="0"/>
        <v>60403.02119080312</v>
      </c>
      <c r="E43" s="16"/>
      <c r="F43" s="23"/>
      <c r="G43" s="17"/>
      <c r="H43" s="9">
        <v>448.53226918080355</v>
      </c>
      <c r="I43" s="8">
        <v>1100</v>
      </c>
      <c r="J43" s="9">
        <f t="shared" si="1"/>
        <v>493.38549609888389</v>
      </c>
      <c r="K43" s="16">
        <v>234.394344759375</v>
      </c>
      <c r="L43" s="8">
        <v>7500</v>
      </c>
      <c r="M43" s="17">
        <f t="shared" si="4"/>
        <v>1757.9575856953127</v>
      </c>
      <c r="N43" s="16">
        <v>423</v>
      </c>
      <c r="O43" s="8">
        <v>13500</v>
      </c>
      <c r="P43" s="9">
        <f t="shared" si="2"/>
        <v>5710.5</v>
      </c>
      <c r="Q43" s="22">
        <v>1933.1745999999998</v>
      </c>
      <c r="R43" s="8">
        <v>750</v>
      </c>
      <c r="S43" s="17">
        <f t="shared" si="3"/>
        <v>1449.88095</v>
      </c>
    </row>
    <row r="44" spans="1:19" ht="15" thickBot="1" x14ac:dyDescent="0.4">
      <c r="A44" s="15" t="s">
        <v>4</v>
      </c>
      <c r="B44" s="16">
        <v>4806.7959446452714</v>
      </c>
      <c r="C44" s="25">
        <v>1250</v>
      </c>
      <c r="D44" s="17">
        <f t="shared" si="0"/>
        <v>6008.4949308065898</v>
      </c>
      <c r="E44" s="16"/>
      <c r="F44" s="23"/>
      <c r="G44" s="17"/>
      <c r="H44" s="26">
        <v>148.60745630397204</v>
      </c>
      <c r="I44" s="25">
        <v>960</v>
      </c>
      <c r="J44" s="26">
        <f t="shared" si="1"/>
        <v>142.66315805181316</v>
      </c>
      <c r="K44" s="16">
        <v>67.266959999999997</v>
      </c>
      <c r="L44" s="25">
        <v>10000</v>
      </c>
      <c r="M44" s="27">
        <f t="shared" si="4"/>
        <v>672.66959999999995</v>
      </c>
      <c r="N44" s="16">
        <v>4193.5106921146562</v>
      </c>
      <c r="O44" s="25">
        <v>15000</v>
      </c>
      <c r="P44" s="26">
        <f t="shared" si="2"/>
        <v>62902.660381719841</v>
      </c>
      <c r="Q44" s="22">
        <v>429.81556720930229</v>
      </c>
      <c r="R44" s="25">
        <v>600</v>
      </c>
      <c r="S44" s="17">
        <f t="shared" si="3"/>
        <v>257.88934032558137</v>
      </c>
    </row>
    <row r="45" spans="1:19" ht="16.5" thickTop="1" thickBot="1" x14ac:dyDescent="0.4">
      <c r="A45" s="2" t="s">
        <v>70</v>
      </c>
      <c r="B45" s="5">
        <f>SUM(B3:B44)</f>
        <v>1225171.8750953602</v>
      </c>
      <c r="C45" s="5">
        <f>(D45/B45)*1000</f>
        <v>1225.5410300995732</v>
      </c>
      <c r="D45" s="28">
        <f>SUM(D3:D44)</f>
        <v>1501498.4018533935</v>
      </c>
      <c r="E45" s="29"/>
      <c r="F45" s="30"/>
      <c r="G45" s="31"/>
      <c r="H45" s="5">
        <f>SUM(H3:H44)</f>
        <v>293854.40928659413</v>
      </c>
      <c r="I45" s="5">
        <f>(J45/H45)*1000</f>
        <v>517.97947016357591</v>
      </c>
      <c r="J45" s="28">
        <f>SUM(J3:J44)</f>
        <v>152210.5512275006</v>
      </c>
      <c r="K45" s="5">
        <f>SUM(K3:K44)</f>
        <v>96745.875730116488</v>
      </c>
      <c r="L45" s="5">
        <f>(M45/K45)*1000</f>
        <v>13672.960571852753</v>
      </c>
      <c r="M45" s="28">
        <f>SUM(M3:M44)</f>
        <v>1322802.544347249</v>
      </c>
      <c r="N45" s="5">
        <f>SUM(N3:N44)</f>
        <v>89554.641532399866</v>
      </c>
      <c r="O45" s="5">
        <f>(P45/N45)*1000</f>
        <v>16667.200264303923</v>
      </c>
      <c r="P45" s="28">
        <f>SUM(P3:P44)</f>
        <v>1492625.1450184579</v>
      </c>
      <c r="Q45" s="5">
        <f>SUM(Q3:Q44)</f>
        <v>45521.846542182866</v>
      </c>
      <c r="R45" s="5">
        <f>(S45/Q45)*1000</f>
        <v>887.51006260255656</v>
      </c>
      <c r="S45" s="32">
        <f>SUM(S3:S44)</f>
        <v>40401.096874436691</v>
      </c>
    </row>
    <row r="46" spans="1:19" ht="16.5" thickTop="1" thickBot="1" x14ac:dyDescent="0.4">
      <c r="A46" s="2" t="s">
        <v>42</v>
      </c>
      <c r="B46" s="33">
        <v>1214315.8901594337</v>
      </c>
      <c r="C46" s="33">
        <v>1381.6862421464634</v>
      </c>
      <c r="D46" s="34">
        <v>1677803.5590531258</v>
      </c>
      <c r="E46" s="29">
        <v>18377</v>
      </c>
      <c r="F46" s="30">
        <v>1163.445927518093</v>
      </c>
      <c r="G46" s="31">
        <v>21380.645809999998</v>
      </c>
      <c r="H46" s="33">
        <v>288887.89229545096</v>
      </c>
      <c r="I46" s="33">
        <v>827.98068877498895</v>
      </c>
      <c r="J46" s="34">
        <v>239193.59604154233</v>
      </c>
      <c r="K46" s="33">
        <v>96202.991262982105</v>
      </c>
      <c r="L46" s="33">
        <v>13813.382426039017</v>
      </c>
      <c r="M46" s="34">
        <v>1328888.7088444624</v>
      </c>
      <c r="N46" s="33">
        <v>85710.411633627155</v>
      </c>
      <c r="O46" s="33">
        <v>18798.041115559296</v>
      </c>
      <c r="P46" s="34">
        <v>1611187.8419204352</v>
      </c>
      <c r="Q46" s="33">
        <v>44090.055268015145</v>
      </c>
      <c r="R46" s="33">
        <v>852.48666770694695</v>
      </c>
      <c r="S46" s="35">
        <v>37586.184294445353</v>
      </c>
    </row>
    <row r="47" spans="1:19" ht="16.5" thickTop="1" thickBot="1" x14ac:dyDescent="0.4">
      <c r="A47" s="2" t="s">
        <v>55</v>
      </c>
      <c r="B47" s="33">
        <f>((B45-B46)/B46)*100</f>
        <v>0.89400007229594669</v>
      </c>
      <c r="C47" s="33">
        <f t="shared" ref="C47:S47" si="5">((C45-C46)/C46)*100</f>
        <v>-11.301061506143183</v>
      </c>
      <c r="D47" s="33">
        <f t="shared" si="5"/>
        <v>-10.508092931882365</v>
      </c>
      <c r="E47" s="34">
        <f t="shared" si="5"/>
        <v>-100</v>
      </c>
      <c r="F47" s="34">
        <f t="shared" si="5"/>
        <v>-100</v>
      </c>
      <c r="G47" s="34">
        <f t="shared" si="5"/>
        <v>-100</v>
      </c>
      <c r="H47" s="33">
        <f t="shared" si="5"/>
        <v>1.7191848892247186</v>
      </c>
      <c r="I47" s="33">
        <f t="shared" si="5"/>
        <v>-37.440633919864112</v>
      </c>
      <c r="J47" s="33">
        <f t="shared" si="5"/>
        <v>-36.365122751419655</v>
      </c>
      <c r="K47" s="33">
        <f t="shared" si="5"/>
        <v>0.56431142109744292</v>
      </c>
      <c r="L47" s="33">
        <f t="shared" si="5"/>
        <v>-1.0165638643404342</v>
      </c>
      <c r="M47" s="33">
        <f t="shared" si="5"/>
        <v>-0.45798902923222773</v>
      </c>
      <c r="N47" s="33">
        <f t="shared" si="5"/>
        <v>4.4851375993911198</v>
      </c>
      <c r="O47" s="33">
        <f t="shared" si="5"/>
        <v>-11.335440954492102</v>
      </c>
      <c r="P47" s="33">
        <f t="shared" si="5"/>
        <v>-7.3587134794077125</v>
      </c>
      <c r="Q47" s="33">
        <f t="shared" si="5"/>
        <v>3.247424539307405</v>
      </c>
      <c r="R47" s="33">
        <f t="shared" si="5"/>
        <v>4.1083803679671558</v>
      </c>
      <c r="S47" s="36">
        <f t="shared" si="5"/>
        <v>7.4892214595120201</v>
      </c>
    </row>
    <row r="48" spans="1:19" ht="16.5" thickTop="1" thickBot="1" x14ac:dyDescent="0.4">
      <c r="A48" s="2" t="s">
        <v>56</v>
      </c>
      <c r="B48" s="33">
        <v>1187741.5928870612</v>
      </c>
      <c r="C48" s="33">
        <v>1198.6630139956337</v>
      </c>
      <c r="D48" s="33">
        <v>1423202.5858664899</v>
      </c>
      <c r="E48" s="29">
        <v>19021.55</v>
      </c>
      <c r="F48" s="30">
        <v>887.56970786978752</v>
      </c>
      <c r="G48" s="31">
        <v>17272.550299999999</v>
      </c>
      <c r="H48" s="33">
        <v>265946.99817045184</v>
      </c>
      <c r="I48" s="33">
        <v>705.88649639990842</v>
      </c>
      <c r="J48" s="33">
        <v>187728.39476661311</v>
      </c>
      <c r="K48" s="33">
        <v>87433.971990642807</v>
      </c>
      <c r="L48" s="33">
        <v>11998.304768904953</v>
      </c>
      <c r="M48" s="33">
        <v>970614.45892445708</v>
      </c>
      <c r="N48" s="33">
        <v>74119.147390334445</v>
      </c>
      <c r="O48" s="33">
        <v>16852.864593316099</v>
      </c>
      <c r="P48" s="33">
        <v>1025331.1329263479</v>
      </c>
      <c r="Q48" s="33">
        <v>37382.840252148671</v>
      </c>
      <c r="R48" s="33">
        <v>611.9822518537319</v>
      </c>
      <c r="S48" s="36">
        <v>20433.771988470377</v>
      </c>
    </row>
    <row r="49" spans="1:20" ht="16.5" thickTop="1" thickBot="1" x14ac:dyDescent="0.4">
      <c r="A49" s="2" t="s">
        <v>57</v>
      </c>
      <c r="B49" s="33">
        <f>((B45-B48)/B48)*100</f>
        <v>3.1513826266971661</v>
      </c>
      <c r="C49" s="33">
        <f t="shared" ref="C49:P49" si="6">((C45-C48)/C48)*100</f>
        <v>2.2423329818398274</v>
      </c>
      <c r="D49" s="33">
        <f t="shared" si="6"/>
        <v>5.5013823586636255</v>
      </c>
      <c r="E49" s="34">
        <f t="shared" si="6"/>
        <v>-100</v>
      </c>
      <c r="F49" s="34">
        <f t="shared" si="6"/>
        <v>-100</v>
      </c>
      <c r="G49" s="34">
        <f t="shared" si="6"/>
        <v>-100</v>
      </c>
      <c r="H49" s="33">
        <f t="shared" si="6"/>
        <v>10.49359884041848</v>
      </c>
      <c r="I49" s="33">
        <f t="shared" si="6"/>
        <v>-26.620005793378553</v>
      </c>
      <c r="J49" s="33">
        <f t="shared" si="6"/>
        <v>-18.919803572213382</v>
      </c>
      <c r="K49" s="33">
        <f t="shared" si="6"/>
        <v>10.650212414540931</v>
      </c>
      <c r="L49" s="33">
        <f t="shared" si="6"/>
        <v>13.957436781301569</v>
      </c>
      <c r="M49" s="33">
        <f t="shared" si="6"/>
        <v>36.285064804521184</v>
      </c>
      <c r="N49" s="33">
        <f t="shared" si="6"/>
        <v>20.825245143171056</v>
      </c>
      <c r="O49" s="33">
        <f t="shared" si="6"/>
        <v>-1.1016781626893903</v>
      </c>
      <c r="P49" s="33">
        <f t="shared" si="6"/>
        <v>45.574936436234879</v>
      </c>
      <c r="Q49" s="33">
        <f t="shared" ref="Q49:S49" si="7">((Q45-Q48)/Q48)*100</f>
        <v>21.772038280495245</v>
      </c>
      <c r="R49" s="33">
        <f t="shared" si="7"/>
        <v>45.022189763548532</v>
      </c>
      <c r="S49" s="33">
        <f t="shared" si="7"/>
        <v>97.717273625411636</v>
      </c>
      <c r="T49" s="38"/>
    </row>
    <row r="50" spans="1:20" ht="16" thickTop="1" x14ac:dyDescent="0.35">
      <c r="A50" s="4" t="s">
        <v>61</v>
      </c>
      <c r="B50" s="1"/>
    </row>
  </sheetData>
  <mergeCells count="6">
    <mergeCell ref="Q1:S1"/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CULTURES CEREALIERES</vt:lpstr>
      <vt:lpstr>CULTURES INDUST ET AUTRES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Thomas</dc:creator>
  <cp:lastModifiedBy>James Thomas</cp:lastModifiedBy>
  <dcterms:created xsi:type="dcterms:W3CDTF">2022-10-28T15:16:01Z</dcterms:created>
  <dcterms:modified xsi:type="dcterms:W3CDTF">2022-11-27T16:53:33Z</dcterms:modified>
</cp:coreProperties>
</file>